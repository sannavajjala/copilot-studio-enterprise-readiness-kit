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1"/>
  <workbookPr defaultThemeVersion="166925"/>
  <xr:revisionPtr revIDLastSave="0" documentId="8_{4E9539B4-7B57-4E17-89EF-14D15F3EDCF8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Instructions" sheetId="1" r:id="rId1"/>
    <sheet name="Agent Assessment" sheetId="2" r:id="rId2"/>
    <sheet name="Executive Summary" sheetId="3" r:id="rId3"/>
    <sheet name="Remediation Plan" sheetId="4" r:id="rId4"/>
    <sheet name="Evidence Register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8" i="3" l="1"/>
  <c r="C8" i="3"/>
  <c r="C37" i="3" a="1"/>
  <c r="C35" i="3"/>
  <c r="C34" i="3"/>
  <c r="C33" i="3"/>
  <c r="C32" i="3"/>
  <c r="C31" i="3"/>
  <c r="C30" i="3"/>
  <c r="C29" i="3"/>
  <c r="A5" i="4" a="1"/>
  <c r="C36" i="3" s="1"/>
  <c r="F60" i="2"/>
  <c r="F59" i="2"/>
  <c r="F58" i="2"/>
  <c r="F57" i="2"/>
  <c r="C17" i="3" s="1"/>
  <c r="F56" i="2"/>
  <c r="F55" i="2"/>
  <c r="F54" i="2"/>
  <c r="F53" i="2"/>
  <c r="C16" i="3" s="1"/>
  <c r="F52" i="2"/>
  <c r="F51" i="2"/>
  <c r="F50" i="2"/>
  <c r="F49" i="2"/>
  <c r="F48" i="2"/>
  <c r="C15" i="3" s="1"/>
  <c r="F47" i="2"/>
  <c r="F46" i="2"/>
  <c r="F45" i="2"/>
  <c r="F44" i="2"/>
  <c r="C14" i="3" s="1"/>
  <c r="F43" i="2"/>
  <c r="F42" i="2"/>
  <c r="F41" i="2"/>
  <c r="F40" i="2"/>
  <c r="F39" i="2"/>
  <c r="C13" i="3" s="1"/>
  <c r="F38" i="2"/>
  <c r="F37" i="2"/>
  <c r="F36" i="2"/>
  <c r="F35" i="2"/>
  <c r="F34" i="2"/>
  <c r="C12" i="3" s="1"/>
  <c r="F33" i="2"/>
  <c r="F32" i="2"/>
  <c r="F31" i="2"/>
  <c r="F30" i="2"/>
  <c r="C11" i="3" s="1"/>
  <c r="F29" i="2"/>
  <c r="F28" i="2"/>
  <c r="F27" i="2"/>
  <c r="F26" i="2"/>
  <c r="F25" i="2"/>
  <c r="D17" i="3" l="1"/>
  <c r="E17" i="3"/>
  <c r="D16" i="3"/>
  <c r="E16" i="3"/>
  <c r="D15" i="3"/>
  <c r="E15" i="3"/>
  <c r="D14" i="3"/>
  <c r="E14" i="3"/>
  <c r="D13" i="3"/>
  <c r="E13" i="3"/>
  <c r="D12" i="3"/>
  <c r="E12" i="3"/>
  <c r="D11" i="3"/>
  <c r="E11" i="3"/>
  <c r="C10" i="3"/>
  <c r="B4" i="3"/>
  <c r="F4" i="3" s="1"/>
  <c r="D10" i="3" l="1"/>
  <c r="E10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<sst xmlns="http://schemas.openxmlformats.org/spreadsheetml/2006/main" count="252" uniqueCount="190">
  <si>
    <t>COPILOT STUDIO ENTERPRISE READINESS ASSESSMENT</t>
  </si>
  <si>
    <t>PUBLIC TEMPLATE — VERSION 0.3.0</t>
  </si>
  <si>
    <t>Workbook Name</t>
  </si>
  <si>
    <t>Copilot Studio Enterprise Readiness Assessment</t>
  </si>
  <si>
    <t>Version</t>
  </si>
  <si>
    <t>0.3.0</t>
  </si>
  <si>
    <t>Project</t>
  </si>
  <si>
    <t>Copilot Studio Enterprise Readiness Kit</t>
  </si>
  <si>
    <t>License</t>
  </si>
  <si>
    <t>MIT</t>
  </si>
  <si>
    <t>Maintainer</t>
  </si>
  <si>
    <t>Manoj Annavajjala</t>
  </si>
  <si>
    <t>Purpose</t>
  </si>
  <si>
    <t>Community-maintained template for assessing whether a Copilot Studio agent is ready for enterprise production review.</t>
  </si>
  <si>
    <t>How to use</t>
  </si>
  <si>
    <t>Complete Assessment Information, assess every critical and scored control, register evidence, address remediation items, and record the final decision.</t>
  </si>
  <si>
    <t>Readiness thresholds</t>
  </si>
  <si>
    <t>90–100 = READY | 75–89 = READY WITH CONDITIONS | 0–74 = NOT READY</t>
  </si>
  <si>
    <t>Scoring</t>
  </si>
  <si>
    <t>Yes = full weight; Partial = half weight; No = zero; Not Applicable is excluded only when an N/A justification is provided.</t>
  </si>
  <si>
    <t>Critical override</t>
  </si>
  <si>
    <t>Any applicable critical control marked Fail forces the final readiness result to NOT READY, regardless of numerical score.</t>
  </si>
  <si>
    <t>Evidence standard</t>
  </si>
  <si>
    <t>Evidence should be current, attributable, accessible to reviewers, and sufficient to demonstrate operating effectiveness.</t>
  </si>
  <si>
    <t>Remediation workflow</t>
  </si>
  <si>
    <t>Partial, No, and failed critical controls appear automatically in the Remediation Plan. Complete priority, target date, and status.</t>
  </si>
  <si>
    <t>Review cadence</t>
  </si>
  <si>
    <t>Reassess before production launch, after material design changes, and at least annually.</t>
  </si>
  <si>
    <t>Disclaimer</t>
  </si>
  <si>
    <t>This workbook is a community-maintained decision-support tool. It is not a Microsoft certification, security guarantee, or compliance attestation. Organizations should adapt the controls to their own security, legal, compliance, privacy, and risk requirements.</t>
  </si>
  <si>
    <t>ASSESSMENT INFORMATION</t>
  </si>
  <si>
    <t>Agent Name</t>
  </si>
  <si>
    <t>Business Owner</t>
  </si>
  <si>
    <t>Business Purpose</t>
  </si>
  <si>
    <t>Technical Owner</t>
  </si>
  <si>
    <t>Environment</t>
  </si>
  <si>
    <t>Assessment Date</t>
  </si>
  <si>
    <t>Assessor</t>
  </si>
  <si>
    <t>Risk Classification</t>
  </si>
  <si>
    <t>Agent Version</t>
  </si>
  <si>
    <t>Intended Audience</t>
  </si>
  <si>
    <t>Production Channel</t>
  </si>
  <si>
    <t>CRITICAL CONTROLS — ANY APPLICABLE FAIL OVERRIDES THE NUMERICAL SCORE</t>
  </si>
  <si>
    <t>Critical ID</t>
  </si>
  <si>
    <t>Domain</t>
  </si>
  <si>
    <t>Critical Control</t>
  </si>
  <si>
    <t>Response</t>
  </si>
  <si>
    <t>Finding / Notes</t>
  </si>
  <si>
    <t>Owner</t>
  </si>
  <si>
    <t>N/A Justification</t>
  </si>
  <si>
    <t>CC-01</t>
  </si>
  <si>
    <t>Governance</t>
  </si>
  <si>
    <t>Accountable production owner assigned</t>
  </si>
  <si>
    <t>CC-02</t>
  </si>
  <si>
    <t>Identity</t>
  </si>
  <si>
    <t>Authentication is appropriate for the use case</t>
  </si>
  <si>
    <t>CC-03</t>
  </si>
  <si>
    <t>Data &amp; Knowledge</t>
  </si>
  <si>
    <t>Restricted knowledge authorization has been validated</t>
  </si>
  <si>
    <t>CC-04</t>
  </si>
  <si>
    <t>Security</t>
  </si>
  <si>
    <t>Production credential model has been reviewed and approved</t>
  </si>
  <si>
    <t>CC-05</t>
  </si>
  <si>
    <t>Sharing scope does not exceed the approved audience</t>
  </si>
  <si>
    <t>CC-06</t>
  </si>
  <si>
    <t>Actions &amp; Connectors</t>
  </si>
  <si>
    <t>High-impact actions have required authorization or approval controls</t>
  </si>
  <si>
    <t>CC-07</t>
  </si>
  <si>
    <t>No unresolved critical security or compliance issue</t>
  </si>
  <si>
    <t>CC-08</t>
  </si>
  <si>
    <t>Operations</t>
  </si>
  <si>
    <t>A viable containment, disable, rollback, or recovery approach exists</t>
  </si>
  <si>
    <t>SCORED CONTROLS — TOTAL CONTROL WEIGHT = 100 POINTS</t>
  </si>
  <si>
    <t>Control ID</t>
  </si>
  <si>
    <t>Control</t>
  </si>
  <si>
    <t>Weight</t>
  </si>
  <si>
    <t>Score</t>
  </si>
  <si>
    <t>Evidence Reference</t>
  </si>
  <si>
    <t>Finding</t>
  </si>
  <si>
    <t>GOV-01</t>
  </si>
  <si>
    <t>Executive sponsor and accountable product owner are assigned</t>
  </si>
  <si>
    <t>GOV-02</t>
  </si>
  <si>
    <t>Approved acceptable-use and responsible AI policy exists</t>
  </si>
  <si>
    <t>GOV-03</t>
  </si>
  <si>
    <t>Use-case intake, risk tiering, and approval process is defined</t>
  </si>
  <si>
    <t>GOV-04</t>
  </si>
  <si>
    <t>KPIs and value realization measures are documented</t>
  </si>
  <si>
    <t>GOV-05</t>
  </si>
  <si>
    <t>Human oversight and escalation procedures are documented</t>
  </si>
  <si>
    <t>ARC-01</t>
  </si>
  <si>
    <t>Architecture</t>
  </si>
  <si>
    <t>Target architecture and environment topology are approved</t>
  </si>
  <si>
    <t>ARC-02</t>
  </si>
  <si>
    <t>Capacity, performance, and service limits are assessed</t>
  </si>
  <si>
    <t>ARC-03</t>
  </si>
  <si>
    <t>Resilience, fallback, and dependency failure behavior are tested</t>
  </si>
  <si>
    <t>ARC-04</t>
  </si>
  <si>
    <t>Licensing and tenant prerequisites are validated</t>
  </si>
  <si>
    <t>ID-01</t>
  </si>
  <si>
    <t>User authentication uses enterprise identity controls</t>
  </si>
  <si>
    <t>ID-02</t>
  </si>
  <si>
    <t>Least-privilege roles are defined for makers, admins, and users</t>
  </si>
  <si>
    <t>ID-03</t>
  </si>
  <si>
    <t>Privileged access and break-glass procedures are controlled</t>
  </si>
  <si>
    <t>ID-04</t>
  </si>
  <si>
    <t>Access reviews and joiner-mover-leaver processes include the agent</t>
  </si>
  <si>
    <t>ID-05</t>
  </si>
  <si>
    <t>Application identities, service principals, and credentials follow approved enterprise identity and secret-management standards.</t>
  </si>
  <si>
    <t>DAT-01</t>
  </si>
  <si>
    <t>Approved knowledge sources have named data owners</t>
  </si>
  <si>
    <t>DAT-02</t>
  </si>
  <si>
    <t>Data classification and sensitivity labels are enforced</t>
  </si>
  <si>
    <t>DAT-03</t>
  </si>
  <si>
    <t>Grounding content is current, authoritative, and lifecycle-managed</t>
  </si>
  <si>
    <t>DAT-04</t>
  </si>
  <si>
    <t>Retrieval permissions respect source access controls</t>
  </si>
  <si>
    <t>DAT-05</t>
  </si>
  <si>
    <t>Retention, deletion, and residency requirements are met</t>
  </si>
  <si>
    <t>ACT-01</t>
  </si>
  <si>
    <t>Connector allowlist and DLP policies are configured</t>
  </si>
  <si>
    <t>ACT-02</t>
  </si>
  <si>
    <t>High-impact actions require confirmation or approval</t>
  </si>
  <si>
    <t>ACT-03</t>
  </si>
  <si>
    <t>Custom connectors are security-reviewed and inventoried</t>
  </si>
  <si>
    <t>ACT-04</t>
  </si>
  <si>
    <t>Action failures, retries, and idempotency are handled</t>
  </si>
  <si>
    <t>ALM-01</t>
  </si>
  <si>
    <t>ALM</t>
  </si>
  <si>
    <t>Separate development, test, and production environments are used</t>
  </si>
  <si>
    <t>ALM-02</t>
  </si>
  <si>
    <t>Solutions and source control manage agent components</t>
  </si>
  <si>
    <t>ALM-03</t>
  </si>
  <si>
    <t>Production deployment follows an approved repeatable ALM process with appropriate approvals, deployment identity, validation, and rollback procedures.</t>
  </si>
  <si>
    <t>ALM-04</t>
  </si>
  <si>
    <t>Testing covers prompts, topics, actions, safety, and regressions</t>
  </si>
  <si>
    <t>ALM-05</t>
  </si>
  <si>
    <t>Release notes and configuration baselines are retained</t>
  </si>
  <si>
    <t>SEC-01</t>
  </si>
  <si>
    <t>Threat modeling covers prompt injection and data exfiltration</t>
  </si>
  <si>
    <t>SEC-02</t>
  </si>
  <si>
    <t>Security testing validates abuse, leakage, and unsafe output controls</t>
  </si>
  <si>
    <t>SEC-03</t>
  </si>
  <si>
    <t>Audit logs are enabled and protected</t>
  </si>
  <si>
    <t>SEC-04</t>
  </si>
  <si>
    <t>Incident response playbooks include agent-specific scenarios</t>
  </si>
  <si>
    <t>OPS-01</t>
  </si>
  <si>
    <t>Production monitoring covers availability, latency, errors, and usage</t>
  </si>
  <si>
    <t>OPS-02</t>
  </si>
  <si>
    <t>Content quality and answer accuracy are monitored</t>
  </si>
  <si>
    <t>OPS-03</t>
  </si>
  <si>
    <t>Support model, SLAs, and escalation paths are documented</t>
  </si>
  <si>
    <t>OPS-04</t>
  </si>
  <si>
    <t>Business continuity and decommissioning plans are documented</t>
  </si>
  <si>
    <t>COPILOT STUDIO
ENTERPRISE READINESS</t>
  </si>
  <si>
    <t>NORMALIZED SCORE OUT OF 100</t>
  </si>
  <si>
    <t>FINAL READINESS RESULT</t>
  </si>
  <si>
    <t>Gap</t>
  </si>
  <si>
    <t>Result</t>
  </si>
  <si>
    <t>ASSESSMENT STATUS</t>
  </si>
  <si>
    <t>FINAL DECISION AND APPROVAL</t>
  </si>
  <si>
    <t>Final Decision</t>
  </si>
  <si>
    <t>Critical Control Status</t>
  </si>
  <si>
    <t>Conditions / Exceptions</t>
  </si>
  <si>
    <t>Critical Controls Passed</t>
  </si>
  <si>
    <t>Critical Controls Failed</t>
  </si>
  <si>
    <t>Risk Acceptance Required</t>
  </si>
  <si>
    <t>Yes count</t>
  </si>
  <si>
    <t>Approver Name</t>
  </si>
  <si>
    <t>Partial count</t>
  </si>
  <si>
    <t>Approver Role</t>
  </si>
  <si>
    <t>No count</t>
  </si>
  <si>
    <t>Approval Date</t>
  </si>
  <si>
    <t>Not Applicable count</t>
  </si>
  <si>
    <t>Next Review Date</t>
  </si>
  <si>
    <t>Open Remediation Items</t>
  </si>
  <si>
    <t>Missing Evidence Items</t>
  </si>
  <si>
    <t>Critical control failures override the numerical readiness score.</t>
  </si>
  <si>
    <t>REMEDIATION PLAN</t>
  </si>
  <si>
    <t>Current Response</t>
  </si>
  <si>
    <t>Recommended Remediation</t>
  </si>
  <si>
    <t>Priority</t>
  </si>
  <si>
    <t>Target Date</t>
  </si>
  <si>
    <t>Status</t>
  </si>
  <si>
    <t>Evidence ID</t>
  </si>
  <si>
    <t>Evidence Description</t>
  </si>
  <si>
    <t>Evidence Type</t>
  </si>
  <si>
    <t>Link or Location</t>
  </si>
  <si>
    <t>Review Status</t>
  </si>
  <si>
    <t>Review Date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</si>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</sst>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dd\-mmm\-yyyy"/>
    <numFmt numFmtId="166" formatCode="0.0\ &quot; / 100&quot;"/>
  </numFmts>
  <fonts count="9">
    <font>
      <sz val="11"/>
      <color theme="1"/>
      <name val="Calibri"/>
      <family val="2"/>
      <scheme val="minor"/>
    </font>
    <font>
      <sz val="11"/>
      <color rgb="FF243447"/>
      <name val="Aptos"/>
    </font>
    <font>
      <b/>
      <sz val="11"/>
      <color rgb="FFFFFFFF"/>
      <name val="Aptos"/>
    </font>
    <font>
      <b/>
      <sz val="11"/>
      <color rgb="FF243447"/>
      <name val="Aptos"/>
    </font>
    <font>
      <b/>
      <sz val="22"/>
      <color rgb="FFFFFFFF"/>
      <name val="Aptos"/>
    </font>
    <font>
      <b/>
      <sz val="28"/>
      <color rgb="FFFFFFFF"/>
      <name val="Aptos"/>
    </font>
    <font>
      <b/>
      <sz val="16"/>
      <color rgb="FF17365D"/>
      <name val="Aptos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4F7F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7E6E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2" borderId="0" xfId="0" applyFont="1" applyFill="1"/>
    <xf numFmtId="164" fontId="1" fillId="0" borderId="0" xfId="0" applyNumberFormat="1" applyFont="1"/>
    <xf numFmtId="0" fontId="1" fillId="0" borderId="1" xfId="0" applyFont="1" applyBorder="1"/>
    <xf numFmtId="164" fontId="1" fillId="0" borderId="1" xfId="0" applyNumberFormat="1" applyFont="1" applyBorder="1"/>
    <xf numFmtId="0" fontId="0" fillId="5" borderId="0" xfId="0" applyFill="1"/>
    <xf numFmtId="0" fontId="1" fillId="5" borderId="0" xfId="0" applyFont="1" applyFill="1"/>
    <xf numFmtId="164" fontId="0" fillId="6" borderId="0" xfId="0" applyNumberFormat="1" applyFill="1"/>
    <xf numFmtId="164" fontId="1" fillId="6" borderId="0" xfId="0" applyNumberFormat="1" applyFont="1" applyFill="1"/>
    <xf numFmtId="0" fontId="7" fillId="2" borderId="0" xfId="0" applyFont="1" applyFill="1"/>
    <xf numFmtId="0" fontId="0" fillId="6" borderId="0" xfId="0" applyFill="1"/>
    <xf numFmtId="0" fontId="1" fillId="6" borderId="0" xfId="0" applyFont="1" applyFill="1"/>
    <xf numFmtId="0" fontId="1" fillId="6" borderId="0" xfId="0" applyFont="1" applyFill="1" applyAlignment="1">
      <alignment wrapText="1"/>
    </xf>
    <xf numFmtId="165" fontId="0" fillId="5" borderId="0" xfId="0" applyNumberFormat="1" applyFill="1"/>
    <xf numFmtId="165" fontId="1" fillId="5" borderId="0" xfId="0" applyNumberFormat="1" applyFont="1" applyFill="1"/>
    <xf numFmtId="0" fontId="1" fillId="5" borderId="0" xfId="0" applyFont="1" applyFill="1" applyAlignment="1">
      <alignment wrapText="1"/>
    </xf>
    <xf numFmtId="0" fontId="0" fillId="0" borderId="0" xfId="0" applyAlignment="1">
      <alignment wrapText="1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166" fontId="5" fillId="3" borderId="0" xfId="0" applyNumberFormat="1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0" fillId="0" borderId="0" xfId="0" applyAlignment="1"/>
    <xf numFmtId="0" fontId="0" fillId="5" borderId="0" xfId="0" applyFill="1" applyAlignment="1"/>
    <xf numFmtId="165" fontId="0" fillId="5" borderId="0" xfId="0" applyNumberFormat="1" applyFill="1" applyAlignment="1"/>
    <xf numFmtId="0" fontId="3" fillId="4" borderId="0" xfId="0" applyFont="1" applyFill="1" applyAlignment="1"/>
    <xf numFmtId="0" fontId="7" fillId="2" borderId="0" xfId="0" applyFont="1" applyFill="1" applyAlignment="1"/>
    <xf numFmtId="0" fontId="8" fillId="0" borderId="0" xfId="0" applyFont="1" applyAlignment="1"/>
  </cellXfs>
  <cellStyles count="1">
    <cellStyle name="Normal" xfId="0" builtinId="0"/>
  </cellStyles>
  <dxfs count="32">
    <dxf>
      <font>
        <color rgb="FF243447"/>
        <name val="Aptos"/>
      </font>
      <fill>
        <patternFill patternType="solid">
          <fgColor indexed="64"/>
          <bgColor rgb="FFFFF2CC"/>
        </patternFill>
      </fill>
      <alignment wrapText="1"/>
    </dxf>
    <dxf>
      <font>
        <color rgb="FF243447"/>
        <name val="Aptos"/>
      </font>
      <numFmt numFmtId="165" formatCode="dd\-mmm\-yyyy"/>
      <fill>
        <patternFill patternType="solid">
          <fgColor indexed="64"/>
          <bgColor rgb="FFFFF2CC"/>
        </patternFill>
      </fill>
    </dxf>
    <dxf>
      <font>
        <color rgb="FF243447"/>
        <name val="Aptos"/>
      </font>
      <numFmt numFmtId="165" formatCode="dd\-mmm\-yyyy"/>
      <fill>
        <patternFill patternType="solid">
          <fgColor indexed="64"/>
          <bgColor rgb="FFFFF2CC"/>
        </patternFill>
      </fill>
    </dxf>
    <dxf>
      <font>
        <color rgb="FF243447"/>
        <name val="Aptos"/>
      </font>
      <fill>
        <patternFill patternType="solid">
          <fgColor indexed="64"/>
          <bgColor rgb="FFFFF2CC"/>
        </patternFill>
      </fill>
    </dxf>
    <dxf>
      <font>
        <color rgb="FF243447"/>
        <name val="Aptos"/>
      </font>
      <fill>
        <patternFill patternType="solid">
          <fgColor indexed="64"/>
          <bgColor rgb="FFFFF2CC"/>
        </patternFill>
      </fill>
    </dxf>
    <dxf>
      <font>
        <color rgb="FF243447"/>
        <name val="Aptos"/>
      </font>
      <fill>
        <patternFill patternType="solid">
          <fgColor indexed="64"/>
          <bgColor rgb="FFFFF2CC"/>
        </patternFill>
      </fill>
    </dxf>
    <dxf>
      <font>
        <color rgb="FF243447"/>
        <name val="Aptos"/>
      </font>
      <fill>
        <patternFill patternType="solid">
          <fgColor indexed="64"/>
          <bgColor rgb="FFFFF2CC"/>
        </patternFill>
      </fill>
    </dxf>
    <dxf>
      <font>
        <color rgb="FF243447"/>
        <name val="Aptos"/>
      </font>
      <fill>
        <patternFill patternType="solid">
          <fgColor indexed="64"/>
          <bgColor rgb="FFFFF2CC"/>
        </patternFill>
      </fill>
    </dxf>
    <dxf>
      <font>
        <color rgb="FF243447"/>
        <name val="Aptos"/>
      </font>
      <fill>
        <patternFill patternType="solid">
          <fgColor indexed="64"/>
          <bgColor rgb="FFFFF2CC"/>
        </patternFill>
      </fill>
    </dxf>
    <dxf>
      <font>
        <color rgb="FF243447"/>
        <name val="Aptos"/>
      </font>
      <fill>
        <patternFill patternType="solid">
          <fgColor indexed="64"/>
          <bgColor rgb="FFFFF2CC"/>
        </patternFill>
      </fill>
    </dxf>
    <dxf>
      <font>
        <color rgb="FF243447"/>
        <name val="Aptos"/>
      </font>
      <fill>
        <patternFill patternType="solid">
          <fgColor indexed="64"/>
          <bgColor rgb="FFFFF2CC"/>
        </patternFill>
      </fill>
    </dxf>
    <dxf>
      <font>
        <b/>
        <color rgb="FFFFFFFF"/>
        <name val="Aptos"/>
      </font>
      <fill>
        <patternFill patternType="solid">
          <fgColor indexed="64"/>
          <bgColor rgb="FF17365D"/>
        </patternFill>
      </fill>
    </dxf>
    <dxf>
      <font>
        <color rgb="FF9C6500"/>
      </font>
      <fill>
        <patternFill patternType="solid">
          <fgColor indexed="64"/>
          <bgColor rgb="FFFFF2CC"/>
        </patternFill>
      </fill>
    </dxf>
    <dxf>
      <font>
        <color rgb="FF9C0006"/>
      </font>
      <fill>
        <patternFill patternType="solid">
          <fgColor indexed="64"/>
          <bgColor rgb="FFF4CCCC"/>
        </patternFill>
      </fill>
    </dxf>
    <dxf>
      <font>
        <color rgb="FF9C6500"/>
      </font>
      <fill>
        <patternFill patternType="solid">
          <fgColor indexed="64"/>
          <bgColor rgb="FFFFF2CC"/>
        </patternFill>
      </fill>
    </dxf>
    <dxf>
      <font>
        <color rgb="FF9C0006"/>
      </font>
      <fill>
        <patternFill patternType="solid">
          <fgColor indexed="64"/>
          <bgColor rgb="FFF4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3447"/>
        <name val="Aptos"/>
        <scheme val="none"/>
      </font>
      <fill>
        <patternFill patternType="solid">
          <fgColor indexed="64"/>
          <bgColor rgb="FFFFF2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3447"/>
        <name val="Aptos"/>
        <scheme val="none"/>
      </font>
      <fill>
        <patternFill patternType="solid">
          <fgColor indexed="64"/>
          <bgColor rgb="FFFFF2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3447"/>
        <name val="Aptos"/>
        <scheme val="none"/>
      </font>
      <fill>
        <patternFill patternType="solid">
          <fgColor indexed="64"/>
          <bgColor rgb="FFFFF2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3447"/>
        <name val="Aptos"/>
        <scheme val="none"/>
      </font>
      <fill>
        <patternFill patternType="solid">
          <fgColor indexed="64"/>
          <bgColor rgb="FFFFF2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3447"/>
        <name val="Aptos"/>
        <scheme val="none"/>
      </font>
      <numFmt numFmtId="164" formatCode="0.0"/>
      <fill>
        <patternFill patternType="solid">
          <fgColor indexed="64"/>
          <bgColor rgb="FFE7E6E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3447"/>
        <name val="Aptos"/>
        <scheme val="none"/>
      </font>
      <fill>
        <patternFill patternType="solid">
          <fgColor indexed="64"/>
          <bgColor rgb="FFFFF2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3447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3447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3447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3447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3447"/>
        <name val="Aptos"/>
        <scheme val="none"/>
      </font>
    </dxf>
    <dxf>
      <fill>
        <patternFill patternType="solid">
          <fgColor indexed="64"/>
          <bgColor rgb="FFFFF2CC"/>
        </patternFill>
      </fill>
    </dxf>
    <dxf>
      <fill>
        <patternFill patternType="solid">
          <fgColor indexed="64"/>
          <bgColor rgb="FFFFF2CC"/>
        </patternFill>
      </fill>
    </dxf>
    <dxf>
      <fill>
        <patternFill patternType="solid">
          <fgColor indexed="64"/>
          <bgColor rgb="FFFFF2CC"/>
        </patternFill>
      </fill>
    </dxf>
    <dxf>
      <fill>
        <patternFill patternType="solid">
          <fgColor indexed="64"/>
          <bgColor rgb="FFFFF2CC"/>
        </patternFill>
      </fill>
    </dxf>
    <dxf>
      <font>
        <color rgb="FF9C0006"/>
      </font>
      <fill>
        <patternFill patternType="solid">
          <fgColor indexed="64"/>
          <bgColor rgb="FFFCE4D6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Domain Readiness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Score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'Executive Summary'!$B$10:$B$17</c:f>
              <c:strCache>
                <c:ptCount val="8"/>
                <c:pt idx="0">
                  <c:v>Governance</c:v>
                </c:pt>
                <c:pt idx="1">
                  <c:v>Architecture</c:v>
                </c:pt>
                <c:pt idx="2">
                  <c:v>Identity</c:v>
                </c:pt>
                <c:pt idx="3">
                  <c:v>Data &amp; Knowledge</c:v>
                </c:pt>
                <c:pt idx="4">
                  <c:v>Actions &amp; Connectors</c:v>
                </c:pt>
                <c:pt idx="5">
                  <c:v>ALM</c:v>
                </c:pt>
                <c:pt idx="6">
                  <c:v>Security</c:v>
                </c:pt>
                <c:pt idx="7">
                  <c:v>Operations</c:v>
                </c:pt>
              </c:strCache>
            </c:strRef>
          </c:cat>
          <c:val>
            <c:numRef>
              <c:f>'Executive Summary'!$C$10:$C$17</c:f>
              <c:numCache>
                <c:formatCode>0.0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57-4921-B897-6641709969DC}"/>
            </c:ext>
          </c:extLst>
        </c:ser>
        <c:ser>
          <c:idx val="1"/>
          <c:order val="1"/>
          <c:tx>
            <c:v>Gap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'Executive Summary'!$B$10:$B$17</c:f>
              <c:strCache>
                <c:ptCount val="8"/>
                <c:pt idx="0">
                  <c:v>Governance</c:v>
                </c:pt>
                <c:pt idx="1">
                  <c:v>Architecture</c:v>
                </c:pt>
                <c:pt idx="2">
                  <c:v>Identity</c:v>
                </c:pt>
                <c:pt idx="3">
                  <c:v>Data &amp; Knowledge</c:v>
                </c:pt>
                <c:pt idx="4">
                  <c:v>Actions &amp; Connectors</c:v>
                </c:pt>
                <c:pt idx="5">
                  <c:v>ALM</c:v>
                </c:pt>
                <c:pt idx="6">
                  <c:v>Security</c:v>
                </c:pt>
                <c:pt idx="7">
                  <c:v>Operations</c:v>
                </c:pt>
              </c:strCache>
            </c:strRef>
          </c:cat>
          <c:val>
            <c:numRef>
              <c:f>'Executive Summary'!$D$10:$D$17</c:f>
              <c:numCache>
                <c:formatCode>0.0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3E67D8E5-10FF-430C-9B5A-4B8A70AA74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7588871"/>
        <c:axId val="47593991"/>
      </c:barChart>
      <c:catAx>
        <c:axId val="475888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93991"/>
        <c:crosses val="autoZero"/>
        <c:auto val="1"/>
        <c:lblAlgn val="ctr"/>
        <c:lblOffset val="100"/>
        <c:noMultiLvlLbl val="0"/>
      </c:catAx>
      <c:valAx>
        <c:axId val="47593991"/>
        <c:scaling>
          <c:orientation val="minMax"/>
          <c:max val="1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88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8</xdr:row>
      <xdr:rowOff>0</xdr:rowOff>
    </xdr:from>
    <xdr:to>
      <xdr:col>13</xdr:col>
      <xdr:colOff>0</xdr:colOff>
      <xdr:row>24</xdr:row>
      <xdr:rowOff>0</xdr:rowOff>
    </xdr:to>
    <xdr:graphicFrame macro="">
      <xdr:nvGraphicFramePr>
        <xdr:cNvPr id="4" name="Domain Readiness">
          <a:extLst>
            <a:ext uri="{FF2B5EF4-FFF2-40B4-BE49-F238E27FC236}">
              <a16:creationId xmlns:a16="http://schemas.microsoft.com/office/drawing/2014/main" id="{942B87D3-E7B0-140A-498F-F4B25815A0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444A09-7CC7-415F-A8AF-1860C30937B1}" name="CriticalControlsTable" displayName="CriticalControlsTable" ref="A13:G21" totalsRowShown="0">
  <autoFilter ref="A13:G21" xr:uid="{94444A09-7CC7-415F-A8AF-1860C30937B1}"/>
  <tableColumns count="7">
    <tableColumn id="1" xr3:uid="{478B22BB-322D-4438-8631-903C3922C1E0}" name="Critical ID"/>
    <tableColumn id="2" xr3:uid="{CC125B6A-5CFB-4949-A989-9111CA400099}" name="Domain"/>
    <tableColumn id="3" xr3:uid="{DE368E18-F031-4ECF-A3A3-2F8734853536}" name="Critical Control"/>
    <tableColumn id="4" xr3:uid="{0B31C5A8-6FD0-4D27-812A-D983D0FE64F8}" name="Response" dataDxfId="30"/>
    <tableColumn id="5" xr3:uid="{B4493C57-8387-434F-88FE-364A6715612C}" name="Finding / Notes" dataDxfId="29"/>
    <tableColumn id="6" xr3:uid="{2B211B41-CF29-415D-810F-D5951A81C844}" name="Owner" dataDxfId="28"/>
    <tableColumn id="7" xr3:uid="{DB61B931-5212-4621-AB4E-4123D8F1F73A}" name="N/A Justification" dataDxfId="2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6197FF5-F7B7-4466-8E9C-0318DC4A2FBA}" name="AssessmentTable" displayName="AssessmentTable" ref="A24:J60" totalsRowShown="0" dataDxfId="26">
  <autoFilter ref="A24:J60" xr:uid="{B6197FF5-F7B7-4466-8E9C-0318DC4A2FBA}"/>
  <tableColumns count="10">
    <tableColumn id="1" xr3:uid="{09291EDF-32B9-426D-84E0-581E84CFA37A}" name="Control ID" dataDxfId="25"/>
    <tableColumn id="2" xr3:uid="{46724971-EA38-43FA-848A-38F22A3E05E3}" name="Domain" dataDxfId="24"/>
    <tableColumn id="3" xr3:uid="{5E5D29F8-CF17-4F5C-864F-999237ED5F27}" name="Control" dataDxfId="23"/>
    <tableColumn id="4" xr3:uid="{ED7FAD39-2A00-4E7D-9595-B4F946DDD69E}" name="Weight" dataDxfId="22"/>
    <tableColumn id="5" xr3:uid="{C90198A5-FC4F-451B-BC19-26DCD8D1FFFB}" name="Response" dataDxfId="21"/>
    <tableColumn id="6" xr3:uid="{414E7D1A-00C8-4134-9B5C-B442DB6B1EB6}" name="Score" dataDxfId="20">
      <calculatedColumnFormula>IF(AssessmentTable[[#This Row],[Response]]="Yes",AssessmentTable[[#This Row],[Weight]],IF(AssessmentTable[[#This Row],[Response]]="Partial",AssessmentTable[[#This Row],[Weight]]*0.5,IF(AssessmentTable[[#This Row],[Response]]="No",0,IF(AND(AssessmentTable[[#This Row],[Response]]="Not Applicable",AssessmentTable[[#This Row],[N/A Justification]]&lt;&gt;""),0,""))))</calculatedColumnFormula>
    </tableColumn>
    <tableColumn id="7" xr3:uid="{C009731B-9BD0-4547-8B47-4F0DBCC56710}" name="N/A Justification" dataDxfId="19"/>
    <tableColumn id="8" xr3:uid="{22C94719-07FE-46E1-97C4-FC30FA567D2F}" name="Evidence Reference" dataDxfId="18"/>
    <tableColumn id="9" xr3:uid="{6FACB6AB-F9CF-41EF-BC73-AA32EE5374B6}" name="Owner" dataDxfId="17"/>
    <tableColumn id="10" xr3:uid="{A3747B84-4E9B-4604-B7FE-932549F11891}" name="Finding" dataDxfId="1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0FD5E3-4538-4DFC-BC5A-C529EEC9F9A1}" name="EvidenceTable" displayName="EvidenceTable" ref="A1:J37" totalsRowShown="0" headerRowDxfId="11" dataDxfId="10">
  <autoFilter ref="A1:J37" xr:uid="{290FD5E3-4538-4DFC-BC5A-C529EEC9F9A1}"/>
  <tableColumns count="10">
    <tableColumn id="1" xr3:uid="{AF3D3CC8-5A70-4D35-918C-282404772494}" name="Evidence ID" dataDxfId="9"/>
    <tableColumn id="2" xr3:uid="{3A3586F0-1684-437C-89A5-C729B6CCF7A0}" name="Control ID" dataDxfId="8"/>
    <tableColumn id="3" xr3:uid="{01C115C2-A1ED-4EAC-B51E-77A5CF22F0A6}" name="Domain" dataDxfId="7"/>
    <tableColumn id="4" xr3:uid="{23DF6A28-B616-4C96-BE45-B8CF6E836B01}" name="Evidence Description" dataDxfId="6"/>
    <tableColumn id="5" xr3:uid="{615EE166-DC99-41C0-9FBE-2B313A56D4A5}" name="Evidence Type" dataDxfId="5"/>
    <tableColumn id="6" xr3:uid="{2B0E8F35-88FD-4887-B122-DA4A8E922D59}" name="Link or Location" dataDxfId="4"/>
    <tableColumn id="7" xr3:uid="{FAE9759C-D372-4D04-8A5F-27B16019545C}" name="Owner" dataDxfId="3"/>
    <tableColumn id="8" xr3:uid="{CB8D21FB-5B0E-4EBD-89EC-A1046EE0B992}" name="Review Status" dataDxfId="2"/>
    <tableColumn id="9" xr3:uid="{9C3CA8DC-201B-456C-B8EF-5C21C3247B9D}" name="Review Date" dataDxfId="1"/>
    <tableColumn id="10" xr3:uid="{5A0BFF3A-6619-4B10-97F8-97FD427EB0A6}" name="Not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0"/>
  <sheetViews>
    <sheetView workbookViewId="0">
      <selection activeCell="F6" sqref="F6"/>
    </sheetView>
  </sheetViews>
  <sheetFormatPr defaultRowHeight="15"/>
  <cols>
    <col min="1" max="1" width="22.85546875" customWidth="1"/>
    <col min="2" max="2" width="81.85546875" customWidth="1"/>
  </cols>
  <sheetData>
    <row r="1" spans="1:2" s="1" customFormat="1" ht="33.75" customHeight="1">
      <c r="A1" t="s">
        <v>0</v>
      </c>
      <c r="B1" t="s">
        <v>1</v>
      </c>
    </row>
    <row r="2" spans="1:2" s="1" customFormat="1" ht="18" customHeight="1">
      <c r="A2" t="s">
        <v>2</v>
      </c>
      <c r="B2" t="s">
        <v>3</v>
      </c>
    </row>
    <row r="3" spans="1:2" s="1" customFormat="1" ht="38.25" customHeight="1">
      <c r="A3" t="s">
        <v>4</v>
      </c>
      <c r="B3" t="s">
        <v>5</v>
      </c>
    </row>
    <row r="4" spans="1:2" s="1" customFormat="1" ht="38.25" customHeight="1">
      <c r="A4" t="s">
        <v>6</v>
      </c>
      <c r="B4" t="s">
        <v>7</v>
      </c>
    </row>
    <row r="5" spans="1:2" s="1" customFormat="1" ht="38.25" customHeight="1">
      <c r="A5" t="s">
        <v>8</v>
      </c>
      <c r="B5" t="s">
        <v>9</v>
      </c>
    </row>
    <row r="6" spans="1:2" s="1" customFormat="1" ht="38.25" customHeight="1">
      <c r="A6" t="s">
        <v>10</v>
      </c>
      <c r="B6" t="s">
        <v>11</v>
      </c>
    </row>
    <row r="7" spans="1:2" s="1" customFormat="1" ht="38.25" customHeight="1">
      <c r="A7" t="s">
        <v>12</v>
      </c>
      <c r="B7" t="s">
        <v>13</v>
      </c>
    </row>
    <row r="8" spans="1:2" s="1" customFormat="1" ht="38.25" customHeight="1">
      <c r="A8" t="s">
        <v>14</v>
      </c>
      <c r="B8" t="s">
        <v>15</v>
      </c>
    </row>
    <row r="9" spans="1:2" s="1" customFormat="1" ht="38.25" customHeight="1">
      <c r="A9" t="s">
        <v>16</v>
      </c>
      <c r="B9" t="s">
        <v>17</v>
      </c>
    </row>
    <row r="10" spans="1:2" s="1" customFormat="1" ht="38.25" customHeight="1">
      <c r="A10" t="s">
        <v>18</v>
      </c>
      <c r="B10" t="s">
        <v>19</v>
      </c>
    </row>
    <row r="11" spans="1:2" s="1" customFormat="1" ht="18" customHeight="1">
      <c r="A11" s="1" t="s">
        <v>20</v>
      </c>
      <c r="B11" s="1" t="s">
        <v>21</v>
      </c>
    </row>
    <row r="12" spans="1:2" s="1" customFormat="1" ht="18" customHeight="1">
      <c r="A12" s="1" t="s">
        <v>22</v>
      </c>
      <c r="B12" s="1" t="s">
        <v>23</v>
      </c>
    </row>
    <row r="13" spans="1:2" s="1" customFormat="1" ht="18" customHeight="1">
      <c r="A13" s="1" t="s">
        <v>24</v>
      </c>
      <c r="B13" s="1" t="s">
        <v>25</v>
      </c>
    </row>
    <row r="14" spans="1:2" s="1" customFormat="1" ht="18" customHeight="1">
      <c r="A14" s="1" t="s">
        <v>26</v>
      </c>
      <c r="B14" s="1" t="s">
        <v>27</v>
      </c>
    </row>
    <row r="15" spans="1:2" s="1" customFormat="1" ht="18" customHeight="1">
      <c r="A15" s="1" t="s">
        <v>28</v>
      </c>
      <c r="B15" s="1" t="s">
        <v>29</v>
      </c>
    </row>
    <row r="16" spans="1:2" s="1" customFormat="1" ht="18" customHeight="1"/>
    <row r="17" s="1" customFormat="1" ht="18" customHeight="1"/>
    <row r="18" s="1" customFormat="1" ht="18" customHeight="1"/>
    <row r="19" s="1" customFormat="1" ht="18" customHeight="1"/>
    <row r="20" s="1" customFormat="1" ht="18" customHeight="1"/>
    <row r="21" s="1" customFormat="1" ht="18" customHeight="1"/>
    <row r="22" s="1" customFormat="1" ht="18" customHeight="1"/>
    <row r="23" s="1" customFormat="1" ht="18" customHeight="1"/>
    <row r="24" s="1" customFormat="1" ht="18" customHeight="1"/>
    <row r="25" s="1" customFormat="1" ht="18" customHeight="1"/>
    <row r="26" s="1" customFormat="1" ht="18" customHeight="1"/>
    <row r="27" s="1" customFormat="1" ht="18" customHeight="1"/>
    <row r="28" s="1" customFormat="1" ht="18" customHeight="1"/>
    <row r="29" s="1" customFormat="1" ht="18" customHeight="1"/>
    <row r="30" s="1" customFormat="1" ht="18" customHeight="1"/>
    <row r="31" s="1" customFormat="1" ht="18" customHeight="1"/>
    <row r="32" s="1" customFormat="1" ht="18" customHeight="1"/>
    <row r="33" s="1" customFormat="1" ht="18" customHeight="1"/>
    <row r="34" s="1" customFormat="1" ht="18" customHeight="1"/>
    <row r="35" s="1" customFormat="1" ht="18" customHeight="1"/>
    <row r="36" s="1" customFormat="1" ht="18" customHeight="1"/>
    <row r="37" s="1" customFormat="1" ht="18" customHeight="1"/>
    <row r="38" s="1" customFormat="1" ht="18" customHeight="1"/>
    <row r="39" s="1" customFormat="1" ht="18" customHeight="1"/>
    <row r="40" s="1" customFormat="1" ht="18" customHeight="1"/>
    <row r="41" s="1" customFormat="1" ht="18" customHeight="1"/>
    <row r="42" s="1" customFormat="1" ht="18" customHeight="1"/>
    <row r="43" s="1" customFormat="1" ht="18" customHeight="1"/>
    <row r="44" s="1" customFormat="1" ht="18" customHeight="1"/>
    <row r="45" s="1" customFormat="1" ht="18" customHeight="1"/>
    <row r="46" s="1" customFormat="1" ht="18" customHeight="1"/>
    <row r="47" s="1" customFormat="1" ht="18" customHeight="1"/>
    <row r="48" s="1" customFormat="1" ht="18" customHeight="1"/>
    <row r="49" s="1" customFormat="1" ht="18" customHeight="1"/>
    <row r="50" s="1" customFormat="1" ht="18" customHeight="1"/>
    <row r="51" s="1" customFormat="1" ht="18" customHeight="1"/>
    <row r="52" s="1" customFormat="1" ht="18" customHeight="1"/>
    <row r="53" s="1" customFormat="1" ht="18" customHeight="1"/>
    <row r="54" s="1" customFormat="1" ht="18" customHeight="1"/>
    <row r="55" s="1" customFormat="1" ht="18" customHeight="1"/>
    <row r="56" s="1" customFormat="1" ht="18" customHeight="1"/>
    <row r="57" s="1" customFormat="1" ht="18" customHeight="1"/>
    <row r="58" s="1" customFormat="1" ht="18" customHeight="1"/>
    <row r="59" s="1" customFormat="1" ht="18" customHeight="1"/>
    <row r="60" s="1" customFormat="1" ht="18" customHeigh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7F689-86FB-40A4-A20F-02343ED9CC76}">
  <dimension ref="A1:J60"/>
  <sheetViews>
    <sheetView tabSelected="1" workbookViewId="0">
      <pane ySplit="1" topLeftCell="A28" activePane="bottomLeft" state="frozen"/>
      <selection pane="bottomLeft" activeCell="E31" sqref="E31"/>
    </sheetView>
  </sheetViews>
  <sheetFormatPr defaultRowHeight="15"/>
  <cols>
    <col min="1" max="1" width="13.7109375" customWidth="1"/>
    <col min="2" max="2" width="20.5703125" customWidth="1"/>
    <col min="3" max="3" width="54.28515625" customWidth="1"/>
    <col min="4" max="6" width="11.85546875" customWidth="1"/>
    <col min="7" max="7" width="24.7109375" customWidth="1"/>
    <col min="8" max="8" width="23.85546875" customWidth="1"/>
    <col min="9" max="9" width="44.7109375" customWidth="1"/>
  </cols>
  <sheetData>
    <row r="1" spans="1:10" s="1" customFormat="1" ht="26.25" customHeight="1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</row>
    <row r="2" spans="1:10" s="1" customFormat="1" ht="33.75" customHeight="1">
      <c r="A2" s="23"/>
      <c r="B2" s="23"/>
      <c r="C2" s="23"/>
      <c r="D2" s="23"/>
      <c r="E2" s="23"/>
      <c r="F2" s="23"/>
      <c r="G2" s="23"/>
      <c r="H2" s="23"/>
      <c r="I2" s="23"/>
      <c r="J2" s="23"/>
    </row>
    <row r="3" spans="1:10" s="1" customFormat="1" ht="33.75" customHeight="1">
      <c r="A3"/>
      <c r="B3"/>
      <c r="C3"/>
      <c r="D3"/>
      <c r="E3"/>
      <c r="F3"/>
      <c r="G3"/>
      <c r="H3"/>
      <c r="I3"/>
    </row>
    <row r="4" spans="1:10" s="1" customFormat="1" ht="33.75" customHeight="1">
      <c r="A4" s="23" t="s">
        <v>30</v>
      </c>
      <c r="B4" s="23"/>
      <c r="C4" s="23"/>
      <c r="D4" s="23"/>
      <c r="E4" s="23"/>
      <c r="F4" s="23"/>
      <c r="G4" s="23"/>
      <c r="H4" s="23"/>
      <c r="I4" s="23"/>
      <c r="J4" s="23"/>
    </row>
    <row r="5" spans="1:10" s="1" customFormat="1" ht="33.75" customHeight="1">
      <c r="A5" t="s">
        <v>31</v>
      </c>
      <c r="B5" s="24"/>
      <c r="C5" s="24"/>
      <c r="D5" s="24"/>
      <c r="E5"/>
      <c r="F5" t="s">
        <v>32</v>
      </c>
      <c r="G5" s="24"/>
      <c r="H5" s="24"/>
      <c r="I5" s="24"/>
      <c r="J5" s="24"/>
    </row>
    <row r="6" spans="1:10" s="1" customFormat="1" ht="33.75" customHeight="1">
      <c r="A6" t="s">
        <v>33</v>
      </c>
      <c r="B6" s="24"/>
      <c r="C6" s="24"/>
      <c r="D6" s="24"/>
      <c r="E6"/>
      <c r="F6" t="s">
        <v>34</v>
      </c>
      <c r="G6" s="24"/>
      <c r="H6" s="24"/>
      <c r="I6" s="24"/>
      <c r="J6" s="24"/>
    </row>
    <row r="7" spans="1:10" s="1" customFormat="1" ht="33.75" customHeight="1">
      <c r="A7" t="s">
        <v>35</v>
      </c>
      <c r="B7" s="24"/>
      <c r="C7" s="24"/>
      <c r="D7" s="24"/>
      <c r="E7"/>
      <c r="F7" t="s">
        <v>36</v>
      </c>
      <c r="G7" s="25"/>
      <c r="H7" s="24"/>
      <c r="I7" s="24"/>
      <c r="J7" s="24"/>
    </row>
    <row r="8" spans="1:10" s="1" customFormat="1" ht="33.75" customHeight="1">
      <c r="A8" t="s">
        <v>37</v>
      </c>
      <c r="B8" s="24"/>
      <c r="C8" s="24"/>
      <c r="D8" s="24"/>
      <c r="E8"/>
      <c r="F8" t="s">
        <v>38</v>
      </c>
      <c r="G8" s="24"/>
      <c r="H8" s="24"/>
      <c r="I8" s="24"/>
      <c r="J8" s="24"/>
    </row>
    <row r="9" spans="1:10" s="1" customFormat="1" ht="33.75" customHeight="1">
      <c r="A9" t="s">
        <v>39</v>
      </c>
      <c r="B9" s="24"/>
      <c r="C9" s="24"/>
      <c r="D9" s="24"/>
      <c r="E9"/>
      <c r="F9" t="s">
        <v>40</v>
      </c>
      <c r="G9" s="24"/>
      <c r="H9" s="24"/>
      <c r="I9" s="24"/>
      <c r="J9" s="24"/>
    </row>
    <row r="10" spans="1:10" s="1" customFormat="1" ht="33.75" customHeight="1">
      <c r="A10" t="s">
        <v>41</v>
      </c>
      <c r="B10" s="24"/>
      <c r="C10" s="24"/>
      <c r="D10" s="24"/>
      <c r="E10"/>
      <c r="F10"/>
      <c r="G10"/>
      <c r="H10"/>
      <c r="I10"/>
    </row>
    <row r="11" spans="1:10" s="1" customFormat="1" ht="33.75" customHeight="1">
      <c r="A11"/>
      <c r="B11"/>
      <c r="C11"/>
      <c r="D11"/>
      <c r="E11"/>
      <c r="F11"/>
      <c r="G11"/>
      <c r="H11"/>
      <c r="I11"/>
    </row>
    <row r="12" spans="1:10" s="1" customFormat="1" ht="33.75" customHeight="1">
      <c r="A12" s="23" t="s">
        <v>42</v>
      </c>
      <c r="B12" s="23"/>
      <c r="C12" s="23"/>
      <c r="D12" s="23"/>
      <c r="E12" s="23"/>
      <c r="F12" s="23"/>
      <c r="G12" s="23"/>
      <c r="H12" s="23"/>
      <c r="I12" s="23"/>
      <c r="J12" s="23"/>
    </row>
    <row r="13" spans="1:10" s="1" customFormat="1" ht="33.75" customHeight="1">
      <c r="A13" t="s">
        <v>43</v>
      </c>
      <c r="B13" t="s">
        <v>44</v>
      </c>
      <c r="C13" t="s">
        <v>45</v>
      </c>
      <c r="D13" t="s">
        <v>46</v>
      </c>
      <c r="E13" t="s">
        <v>47</v>
      </c>
      <c r="F13" t="s">
        <v>48</v>
      </c>
      <c r="G13" t="s">
        <v>49</v>
      </c>
      <c r="H13"/>
      <c r="I13"/>
    </row>
    <row r="14" spans="1:10" s="1" customFormat="1" ht="33.75" customHeight="1">
      <c r="A14" t="s">
        <v>50</v>
      </c>
      <c r="B14" t="s">
        <v>51</v>
      </c>
      <c r="C14" t="s">
        <v>52</v>
      </c>
      <c r="D14" s="6"/>
      <c r="E14" s="6"/>
      <c r="F14" s="6"/>
      <c r="G14" s="6"/>
      <c r="H14"/>
      <c r="I14"/>
    </row>
    <row r="15" spans="1:10" s="1" customFormat="1" ht="33.75" customHeight="1">
      <c r="A15" t="s">
        <v>53</v>
      </c>
      <c r="B15" t="s">
        <v>54</v>
      </c>
      <c r="C15" t="s">
        <v>55</v>
      </c>
      <c r="D15" s="6"/>
      <c r="E15" s="6"/>
      <c r="F15" s="6"/>
      <c r="G15" s="6"/>
      <c r="H15"/>
      <c r="I15"/>
    </row>
    <row r="16" spans="1:10" s="1" customFormat="1" ht="33.75" customHeight="1">
      <c r="A16" t="s">
        <v>56</v>
      </c>
      <c r="B16" t="s">
        <v>57</v>
      </c>
      <c r="C16" t="s">
        <v>58</v>
      </c>
      <c r="D16" s="6"/>
      <c r="E16" s="6"/>
      <c r="F16" s="6"/>
      <c r="G16" s="6"/>
      <c r="H16"/>
      <c r="I16"/>
    </row>
    <row r="17" spans="1:10" s="1" customFormat="1" ht="33.75" customHeight="1">
      <c r="A17" t="s">
        <v>59</v>
      </c>
      <c r="B17" t="s">
        <v>60</v>
      </c>
      <c r="C17" t="s">
        <v>61</v>
      </c>
      <c r="D17" s="6"/>
      <c r="E17" s="6"/>
      <c r="F17" s="6"/>
      <c r="G17" s="6"/>
      <c r="H17"/>
      <c r="I17"/>
    </row>
    <row r="18" spans="1:10" s="1" customFormat="1" ht="33.75" customHeight="1">
      <c r="A18" t="s">
        <v>62</v>
      </c>
      <c r="B18" t="s">
        <v>51</v>
      </c>
      <c r="C18" t="s">
        <v>63</v>
      </c>
      <c r="D18" s="6"/>
      <c r="E18" s="6"/>
      <c r="F18" s="6"/>
      <c r="G18" s="6"/>
      <c r="H18"/>
      <c r="I18"/>
    </row>
    <row r="19" spans="1:10" s="1" customFormat="1" ht="33.75" customHeight="1">
      <c r="A19" t="s">
        <v>64</v>
      </c>
      <c r="B19" t="s">
        <v>65</v>
      </c>
      <c r="C19" t="s">
        <v>66</v>
      </c>
      <c r="D19" s="6"/>
      <c r="E19" s="6"/>
      <c r="F19" s="6"/>
      <c r="G19" s="6"/>
      <c r="H19"/>
      <c r="I19"/>
    </row>
    <row r="20" spans="1:10" s="1" customFormat="1" ht="33.75" customHeight="1">
      <c r="A20" t="s">
        <v>67</v>
      </c>
      <c r="B20" t="s">
        <v>60</v>
      </c>
      <c r="C20" t="s">
        <v>68</v>
      </c>
      <c r="D20" s="6"/>
      <c r="E20" s="6"/>
      <c r="F20" s="6"/>
      <c r="G20" s="6"/>
      <c r="H20"/>
      <c r="I20"/>
    </row>
    <row r="21" spans="1:10" s="1" customFormat="1" ht="33.75" customHeight="1">
      <c r="A21" t="s">
        <v>69</v>
      </c>
      <c r="B21" t="s">
        <v>70</v>
      </c>
      <c r="C21" t="s">
        <v>71</v>
      </c>
      <c r="D21" s="6"/>
      <c r="E21" s="6"/>
      <c r="F21" s="6"/>
      <c r="G21" s="6"/>
      <c r="H21"/>
      <c r="I21"/>
    </row>
    <row r="22" spans="1:10" s="1" customFormat="1" ht="33.75" customHeight="1">
      <c r="A22"/>
      <c r="B22"/>
      <c r="C22"/>
      <c r="D22"/>
      <c r="E22"/>
      <c r="F22"/>
      <c r="G22"/>
      <c r="H22"/>
      <c r="I22"/>
    </row>
    <row r="23" spans="1:10" s="1" customFormat="1" ht="33.75" customHeight="1">
      <c r="A23" s="23" t="s">
        <v>72</v>
      </c>
      <c r="B23" s="23"/>
      <c r="C23" s="23"/>
      <c r="D23" s="23"/>
      <c r="E23" s="23"/>
      <c r="F23" s="23"/>
      <c r="G23" s="23"/>
      <c r="H23" s="23"/>
      <c r="I23" s="23"/>
      <c r="J23" s="23"/>
    </row>
    <row r="24" spans="1:10" s="1" customFormat="1" ht="33.75" customHeight="1">
      <c r="A24" t="s">
        <v>73</v>
      </c>
      <c r="B24" t="s">
        <v>44</v>
      </c>
      <c r="C24" t="s">
        <v>74</v>
      </c>
      <c r="D24" t="s">
        <v>75</v>
      </c>
      <c r="E24" t="s">
        <v>46</v>
      </c>
      <c r="F24" t="s">
        <v>76</v>
      </c>
      <c r="G24" t="s">
        <v>49</v>
      </c>
      <c r="H24" t="s">
        <v>77</v>
      </c>
      <c r="I24" t="s">
        <v>48</v>
      </c>
      <c r="J24" s="1" t="s">
        <v>78</v>
      </c>
    </row>
    <row r="25" spans="1:10" s="1" customFormat="1" ht="33.75" customHeight="1">
      <c r="A25" t="s">
        <v>79</v>
      </c>
      <c r="B25" t="s">
        <v>51</v>
      </c>
      <c r="C25" t="s">
        <v>80</v>
      </c>
      <c r="D25">
        <v>4</v>
      </c>
      <c r="E25" s="6"/>
      <c r="F25" s="8" t="str">
        <f>IF(AssessmentTable[[#This Row],[Response]]="Yes",AssessmentTable[[#This Row],[Weight]],IF(AssessmentTable[[#This Row],[Response]]="Partial",AssessmentTable[[#This Row],[Weight]]*0.5,IF(AssessmentTable[[#This Row],[Response]]="No",0,IF(AND(AssessmentTable[[#This Row],[Response]]="Not Applicable",AssessmentTable[[#This Row],[N/A Justification]]&lt;&gt;""),0,""))))</f>
        <v/>
      </c>
      <c r="G25" s="6"/>
      <c r="H25" s="6"/>
      <c r="I25" s="6"/>
      <c r="J25" s="7"/>
    </row>
    <row r="26" spans="1:10" s="1" customFormat="1" ht="33.75" customHeight="1">
      <c r="A26" t="s">
        <v>81</v>
      </c>
      <c r="B26" t="s">
        <v>51</v>
      </c>
      <c r="C26" t="s">
        <v>82</v>
      </c>
      <c r="D26">
        <v>3</v>
      </c>
      <c r="E26" s="6"/>
      <c r="F26" s="8" t="str">
        <f>IF(AssessmentTable[[#This Row],[Response]]="Yes",AssessmentTable[[#This Row],[Weight]],IF(AssessmentTable[[#This Row],[Response]]="Partial",AssessmentTable[[#This Row],[Weight]]*0.5,IF(AssessmentTable[[#This Row],[Response]]="No",0,IF(AND(AssessmentTable[[#This Row],[Response]]="Not Applicable",AssessmentTable[[#This Row],[N/A Justification]]&lt;&gt;""),0,""))))</f>
        <v/>
      </c>
      <c r="G26" s="6"/>
      <c r="H26" s="6"/>
      <c r="I26" s="6"/>
      <c r="J26" s="7"/>
    </row>
    <row r="27" spans="1:10" s="1" customFormat="1" ht="33.75" customHeight="1">
      <c r="A27" t="s">
        <v>83</v>
      </c>
      <c r="B27" t="s">
        <v>51</v>
      </c>
      <c r="C27" t="s">
        <v>84</v>
      </c>
      <c r="D27">
        <v>3</v>
      </c>
      <c r="E27" s="6"/>
      <c r="F27" s="8" t="str">
        <f>IF(AssessmentTable[[#This Row],[Response]]="Yes",AssessmentTable[[#This Row],[Weight]],IF(AssessmentTable[[#This Row],[Response]]="Partial",AssessmentTable[[#This Row],[Weight]]*0.5,IF(AssessmentTable[[#This Row],[Response]]="No",0,IF(AND(AssessmentTable[[#This Row],[Response]]="Not Applicable",AssessmentTable[[#This Row],[N/A Justification]]&lt;&gt;""),0,""))))</f>
        <v/>
      </c>
      <c r="G27" s="6"/>
      <c r="H27" s="6"/>
      <c r="I27" s="6"/>
      <c r="J27" s="7"/>
    </row>
    <row r="28" spans="1:10" s="1" customFormat="1" ht="33.75" customHeight="1">
      <c r="A28" t="s">
        <v>85</v>
      </c>
      <c r="B28" t="s">
        <v>51</v>
      </c>
      <c r="C28" t="s">
        <v>86</v>
      </c>
      <c r="D28">
        <v>3</v>
      </c>
      <c r="E28" s="6"/>
      <c r="F28" s="8" t="str">
        <f>IF(AssessmentTable[[#This Row],[Response]]="Yes",AssessmentTable[[#This Row],[Weight]],IF(AssessmentTable[[#This Row],[Response]]="Partial",AssessmentTable[[#This Row],[Weight]]*0.5,IF(AssessmentTable[[#This Row],[Response]]="No",0,IF(AND(AssessmentTable[[#This Row],[Response]]="Not Applicable",AssessmentTable[[#This Row],[N/A Justification]]&lt;&gt;""),0,""))))</f>
        <v/>
      </c>
      <c r="G28" s="6"/>
      <c r="H28" s="6"/>
      <c r="I28" s="6"/>
      <c r="J28" s="7"/>
    </row>
    <row r="29" spans="1:10" s="1" customFormat="1" ht="33.75" customHeight="1">
      <c r="A29" t="s">
        <v>87</v>
      </c>
      <c r="B29" t="s">
        <v>51</v>
      </c>
      <c r="C29" t="s">
        <v>88</v>
      </c>
      <c r="D29">
        <v>2</v>
      </c>
      <c r="E29" s="6"/>
      <c r="F29" s="8" t="str">
        <f>IF(AssessmentTable[[#This Row],[Response]]="Yes",AssessmentTable[[#This Row],[Weight]],IF(AssessmentTable[[#This Row],[Response]]="Partial",AssessmentTable[[#This Row],[Weight]]*0.5,IF(AssessmentTable[[#This Row],[Response]]="No",0,IF(AND(AssessmentTable[[#This Row],[Response]]="Not Applicable",AssessmentTable[[#This Row],[N/A Justification]]&lt;&gt;""),0,""))))</f>
        <v/>
      </c>
      <c r="G29" s="6"/>
      <c r="H29" s="6"/>
      <c r="I29" s="6"/>
      <c r="J29" s="7"/>
    </row>
    <row r="30" spans="1:10" s="1" customFormat="1" ht="33.75" customHeight="1">
      <c r="A30" t="s">
        <v>89</v>
      </c>
      <c r="B30" t="s">
        <v>90</v>
      </c>
      <c r="C30" t="s">
        <v>91</v>
      </c>
      <c r="D30">
        <v>3</v>
      </c>
      <c r="E30" s="6"/>
      <c r="F30" s="8" t="str">
        <f>IF(AssessmentTable[[#This Row],[Response]]="Yes",AssessmentTable[[#This Row],[Weight]],IF(AssessmentTable[[#This Row],[Response]]="Partial",AssessmentTable[[#This Row],[Weight]]*0.5,IF(AssessmentTable[[#This Row],[Response]]="No",0,IF(AND(AssessmentTable[[#This Row],[Response]]="Not Applicable",AssessmentTable[[#This Row],[N/A Justification]]&lt;&gt;""),0,""))))</f>
        <v/>
      </c>
      <c r="G30" s="6"/>
      <c r="H30" s="6"/>
      <c r="I30" s="6"/>
      <c r="J30" s="7"/>
    </row>
    <row r="31" spans="1:10" s="1" customFormat="1" ht="33.75" customHeight="1">
      <c r="A31" t="s">
        <v>92</v>
      </c>
      <c r="B31" t="s">
        <v>90</v>
      </c>
      <c r="C31" t="s">
        <v>93</v>
      </c>
      <c r="D31">
        <v>3</v>
      </c>
      <c r="E31" s="6"/>
      <c r="F31" s="8" t="str">
        <f>IF(AssessmentTable[[#This Row],[Response]]="Yes",AssessmentTable[[#This Row],[Weight]],IF(AssessmentTable[[#This Row],[Response]]="Partial",AssessmentTable[[#This Row],[Weight]]*0.5,IF(AssessmentTable[[#This Row],[Response]]="No",0,IF(AND(AssessmentTable[[#This Row],[Response]]="Not Applicable",AssessmentTable[[#This Row],[N/A Justification]]&lt;&gt;""),0,""))))</f>
        <v/>
      </c>
      <c r="G31" s="6"/>
      <c r="H31" s="6"/>
      <c r="I31" s="6"/>
      <c r="J31" s="7"/>
    </row>
    <row r="32" spans="1:10" s="1" customFormat="1" ht="33.75" customHeight="1">
      <c r="A32" t="s">
        <v>94</v>
      </c>
      <c r="B32" t="s">
        <v>90</v>
      </c>
      <c r="C32" t="s">
        <v>95</v>
      </c>
      <c r="D32">
        <v>2</v>
      </c>
      <c r="E32" s="6"/>
      <c r="F32" s="8" t="str">
        <f>IF(AssessmentTable[[#This Row],[Response]]="Yes",AssessmentTable[[#This Row],[Weight]],IF(AssessmentTable[[#This Row],[Response]]="Partial",AssessmentTable[[#This Row],[Weight]]*0.5,IF(AssessmentTable[[#This Row],[Response]]="No",0,IF(AND(AssessmentTable[[#This Row],[Response]]="Not Applicable",AssessmentTable[[#This Row],[N/A Justification]]&lt;&gt;""),0,""))))</f>
        <v/>
      </c>
      <c r="G32" s="6"/>
      <c r="H32" s="6"/>
      <c r="I32" s="6"/>
      <c r="J32" s="7"/>
    </row>
    <row r="33" spans="1:10" s="1" customFormat="1" ht="33.75" customHeight="1">
      <c r="A33" t="s">
        <v>96</v>
      </c>
      <c r="B33" t="s">
        <v>90</v>
      </c>
      <c r="C33" t="s">
        <v>97</v>
      </c>
      <c r="D33">
        <v>2</v>
      </c>
      <c r="E33" s="6"/>
      <c r="F33" s="8" t="str">
        <f>IF(AssessmentTable[[#This Row],[Response]]="Yes",AssessmentTable[[#This Row],[Weight]],IF(AssessmentTable[[#This Row],[Response]]="Partial",AssessmentTable[[#This Row],[Weight]]*0.5,IF(AssessmentTable[[#This Row],[Response]]="No",0,IF(AND(AssessmentTable[[#This Row],[Response]]="Not Applicable",AssessmentTable[[#This Row],[N/A Justification]]&lt;&gt;""),0,""))))</f>
        <v/>
      </c>
      <c r="G33" s="6"/>
      <c r="H33" s="6"/>
      <c r="I33" s="6"/>
      <c r="J33" s="7"/>
    </row>
    <row r="34" spans="1:10" s="1" customFormat="1" ht="33.75" customHeight="1">
      <c r="A34" t="s">
        <v>98</v>
      </c>
      <c r="B34" t="s">
        <v>54</v>
      </c>
      <c r="C34" t="s">
        <v>99</v>
      </c>
      <c r="D34">
        <v>4</v>
      </c>
      <c r="E34" s="6"/>
      <c r="F34" s="8" t="str">
        <f>IF(AssessmentTable[[#This Row],[Response]]="Yes",AssessmentTable[[#This Row],[Weight]],IF(AssessmentTable[[#This Row],[Response]]="Partial",AssessmentTable[[#This Row],[Weight]]*0.5,IF(AssessmentTable[[#This Row],[Response]]="No",0,IF(AND(AssessmentTable[[#This Row],[Response]]="Not Applicable",AssessmentTable[[#This Row],[N/A Justification]]&lt;&gt;""),0,""))))</f>
        <v/>
      </c>
      <c r="G34" s="6"/>
      <c r="H34" s="6"/>
      <c r="I34" s="6"/>
      <c r="J34" s="7"/>
    </row>
    <row r="35" spans="1:10" s="1" customFormat="1" ht="33.75" customHeight="1">
      <c r="A35" t="s">
        <v>100</v>
      </c>
      <c r="B35" t="s">
        <v>54</v>
      </c>
      <c r="C35" t="s">
        <v>101</v>
      </c>
      <c r="D35">
        <v>3</v>
      </c>
      <c r="E35" s="6"/>
      <c r="F35" s="8" t="str">
        <f>IF(AssessmentTable[[#This Row],[Response]]="Yes",AssessmentTable[[#This Row],[Weight]],IF(AssessmentTable[[#This Row],[Response]]="Partial",AssessmentTable[[#This Row],[Weight]]*0.5,IF(AssessmentTable[[#This Row],[Response]]="No",0,IF(AND(AssessmentTable[[#This Row],[Response]]="Not Applicable",AssessmentTable[[#This Row],[N/A Justification]]&lt;&gt;""),0,""))))</f>
        <v/>
      </c>
      <c r="G35" s="6"/>
      <c r="H35" s="6"/>
      <c r="I35" s="6"/>
      <c r="J35" s="7"/>
    </row>
    <row r="36" spans="1:10" s="1" customFormat="1" ht="33.75" customHeight="1">
      <c r="A36" t="s">
        <v>102</v>
      </c>
      <c r="B36" t="s">
        <v>54</v>
      </c>
      <c r="C36" t="s">
        <v>103</v>
      </c>
      <c r="D36">
        <v>3</v>
      </c>
      <c r="E36" s="6"/>
      <c r="F36" s="8" t="str">
        <f>IF(AssessmentTable[[#This Row],[Response]]="Yes",AssessmentTable[[#This Row],[Weight]],IF(AssessmentTable[[#This Row],[Response]]="Partial",AssessmentTable[[#This Row],[Weight]]*0.5,IF(AssessmentTable[[#This Row],[Response]]="No",0,IF(AND(AssessmentTable[[#This Row],[Response]]="Not Applicable",AssessmentTable[[#This Row],[N/A Justification]]&lt;&gt;""),0,""))))</f>
        <v/>
      </c>
      <c r="G36" s="6"/>
      <c r="H36" s="6"/>
      <c r="I36" s="6"/>
      <c r="J36" s="7"/>
    </row>
    <row r="37" spans="1:10" s="1" customFormat="1" ht="33.75" customHeight="1">
      <c r="A37" t="s">
        <v>104</v>
      </c>
      <c r="B37" t="s">
        <v>54</v>
      </c>
      <c r="C37" t="s">
        <v>105</v>
      </c>
      <c r="D37">
        <v>3</v>
      </c>
      <c r="E37" s="6"/>
      <c r="F37" s="8" t="str">
        <f>IF(AssessmentTable[[#This Row],[Response]]="Yes",AssessmentTable[[#This Row],[Weight]],IF(AssessmentTable[[#This Row],[Response]]="Partial",AssessmentTable[[#This Row],[Weight]]*0.5,IF(AssessmentTable[[#This Row],[Response]]="No",0,IF(AND(AssessmentTable[[#This Row],[Response]]="Not Applicable",AssessmentTable[[#This Row],[N/A Justification]]&lt;&gt;""),0,""))))</f>
        <v/>
      </c>
      <c r="G37" s="6"/>
      <c r="H37" s="6"/>
      <c r="I37" s="6"/>
      <c r="J37" s="7"/>
    </row>
    <row r="38" spans="1:10" s="1" customFormat="1" ht="18" customHeight="1">
      <c r="A38" s="1" t="s">
        <v>106</v>
      </c>
      <c r="B38" s="1" t="s">
        <v>54</v>
      </c>
      <c r="C38" s="1" t="s">
        <v>107</v>
      </c>
      <c r="D38" s="1">
        <v>2</v>
      </c>
      <c r="E38" s="7"/>
      <c r="F38" s="9" t="str">
        <f>IF(AssessmentTable[[#This Row],[Response]]="Yes",AssessmentTable[[#This Row],[Weight]],IF(AssessmentTable[[#This Row],[Response]]="Partial",AssessmentTable[[#This Row],[Weight]]*0.5,IF(AssessmentTable[[#This Row],[Response]]="No",0,IF(AND(AssessmentTable[[#This Row],[Response]]="Not Applicable",AssessmentTable[[#This Row],[N/A Justification]]&lt;&gt;""),0,""))))</f>
        <v/>
      </c>
      <c r="G38" s="7"/>
      <c r="H38" s="7"/>
      <c r="I38" s="7"/>
      <c r="J38" s="7"/>
    </row>
    <row r="39" spans="1:10" s="1" customFormat="1" ht="18" customHeight="1">
      <c r="A39" s="1" t="s">
        <v>108</v>
      </c>
      <c r="B39" s="1" t="s">
        <v>57</v>
      </c>
      <c r="C39" s="1" t="s">
        <v>109</v>
      </c>
      <c r="D39" s="1">
        <v>4</v>
      </c>
      <c r="E39" s="7"/>
      <c r="F39" s="9" t="str">
        <f>IF(AssessmentTable[[#This Row],[Response]]="Yes",AssessmentTable[[#This Row],[Weight]],IF(AssessmentTable[[#This Row],[Response]]="Partial",AssessmentTable[[#This Row],[Weight]]*0.5,IF(AssessmentTable[[#This Row],[Response]]="No",0,IF(AND(AssessmentTable[[#This Row],[Response]]="Not Applicable",AssessmentTable[[#This Row],[N/A Justification]]&lt;&gt;""),0,""))))</f>
        <v/>
      </c>
      <c r="G39" s="7"/>
      <c r="H39" s="7"/>
      <c r="I39" s="7"/>
      <c r="J39" s="7"/>
    </row>
    <row r="40" spans="1:10" s="1" customFormat="1" ht="18" customHeight="1">
      <c r="A40" s="1" t="s">
        <v>110</v>
      </c>
      <c r="B40" s="1" t="s">
        <v>57</v>
      </c>
      <c r="C40" s="1" t="s">
        <v>111</v>
      </c>
      <c r="D40" s="1">
        <v>2</v>
      </c>
      <c r="E40" s="7"/>
      <c r="F40" s="9" t="str">
        <f>IF(AssessmentTable[[#This Row],[Response]]="Yes",AssessmentTable[[#This Row],[Weight]],IF(AssessmentTable[[#This Row],[Response]]="Partial",AssessmentTable[[#This Row],[Weight]]*0.5,IF(AssessmentTable[[#This Row],[Response]]="No",0,IF(AND(AssessmentTable[[#This Row],[Response]]="Not Applicable",AssessmentTable[[#This Row],[N/A Justification]]&lt;&gt;""),0,""))))</f>
        <v/>
      </c>
      <c r="G40" s="7"/>
      <c r="H40" s="7"/>
      <c r="I40" s="7"/>
      <c r="J40" s="7"/>
    </row>
    <row r="41" spans="1:10" s="1" customFormat="1" ht="18" customHeight="1">
      <c r="A41" s="1" t="s">
        <v>112</v>
      </c>
      <c r="B41" s="1" t="s">
        <v>57</v>
      </c>
      <c r="C41" s="1" t="s">
        <v>113</v>
      </c>
      <c r="D41" s="1">
        <v>3</v>
      </c>
      <c r="E41" s="7"/>
      <c r="F41" s="9" t="str">
        <f>IF(AssessmentTable[[#This Row],[Response]]="Yes",AssessmentTable[[#This Row],[Weight]],IF(AssessmentTable[[#This Row],[Response]]="Partial",AssessmentTable[[#This Row],[Weight]]*0.5,IF(AssessmentTable[[#This Row],[Response]]="No",0,IF(AND(AssessmentTable[[#This Row],[Response]]="Not Applicable",AssessmentTable[[#This Row],[N/A Justification]]&lt;&gt;""),0,""))))</f>
        <v/>
      </c>
      <c r="G41" s="7"/>
      <c r="H41" s="7"/>
      <c r="I41" s="7"/>
      <c r="J41" s="7"/>
    </row>
    <row r="42" spans="1:10" s="1" customFormat="1" ht="18" customHeight="1">
      <c r="A42" s="1" t="s">
        <v>114</v>
      </c>
      <c r="B42" s="1" t="s">
        <v>57</v>
      </c>
      <c r="C42" s="1" t="s">
        <v>115</v>
      </c>
      <c r="D42" s="1">
        <v>3</v>
      </c>
      <c r="E42" s="7"/>
      <c r="F42" s="9" t="str">
        <f>IF(AssessmentTable[[#This Row],[Response]]="Yes",AssessmentTable[[#This Row],[Weight]],IF(AssessmentTable[[#This Row],[Response]]="Partial",AssessmentTable[[#This Row],[Weight]]*0.5,IF(AssessmentTable[[#This Row],[Response]]="No",0,IF(AND(AssessmentTable[[#This Row],[Response]]="Not Applicable",AssessmentTable[[#This Row],[N/A Justification]]&lt;&gt;""),0,""))))</f>
        <v/>
      </c>
      <c r="G42" s="7"/>
      <c r="H42" s="7"/>
      <c r="I42" s="7"/>
      <c r="J42" s="7"/>
    </row>
    <row r="43" spans="1:10" s="1" customFormat="1" ht="18" customHeight="1">
      <c r="A43" s="1" t="s">
        <v>116</v>
      </c>
      <c r="B43" s="1" t="s">
        <v>57</v>
      </c>
      <c r="C43" s="1" t="s">
        <v>117</v>
      </c>
      <c r="D43" s="1">
        <v>3</v>
      </c>
      <c r="E43" s="7"/>
      <c r="F43" s="9" t="str">
        <f>IF(AssessmentTable[[#This Row],[Response]]="Yes",AssessmentTable[[#This Row],[Weight]],IF(AssessmentTable[[#This Row],[Response]]="Partial",AssessmentTable[[#This Row],[Weight]]*0.5,IF(AssessmentTable[[#This Row],[Response]]="No",0,IF(AND(AssessmentTable[[#This Row],[Response]]="Not Applicable",AssessmentTable[[#This Row],[N/A Justification]]&lt;&gt;""),0,""))))</f>
        <v/>
      </c>
      <c r="G43" s="7"/>
      <c r="H43" s="7"/>
      <c r="I43" s="7"/>
      <c r="J43" s="7"/>
    </row>
    <row r="44" spans="1:10" s="1" customFormat="1" ht="18" customHeight="1">
      <c r="A44" s="1" t="s">
        <v>118</v>
      </c>
      <c r="B44" s="1" t="s">
        <v>65</v>
      </c>
      <c r="C44" s="1" t="s">
        <v>119</v>
      </c>
      <c r="D44" s="1">
        <v>3</v>
      </c>
      <c r="E44" s="7"/>
      <c r="F44" s="9" t="str">
        <f>IF(AssessmentTable[[#This Row],[Response]]="Yes",AssessmentTable[[#This Row],[Weight]],IF(AssessmentTable[[#This Row],[Response]]="Partial",AssessmentTable[[#This Row],[Weight]]*0.5,IF(AssessmentTable[[#This Row],[Response]]="No",0,IF(AND(AssessmentTable[[#This Row],[Response]]="Not Applicable",AssessmentTable[[#This Row],[N/A Justification]]&lt;&gt;""),0,""))))</f>
        <v/>
      </c>
      <c r="G44" s="7"/>
      <c r="H44" s="7"/>
      <c r="I44" s="7"/>
      <c r="J44" s="7"/>
    </row>
    <row r="45" spans="1:10" s="1" customFormat="1" ht="18" customHeight="1">
      <c r="A45" s="1" t="s">
        <v>120</v>
      </c>
      <c r="B45" s="1" t="s">
        <v>65</v>
      </c>
      <c r="C45" s="1" t="s">
        <v>121</v>
      </c>
      <c r="D45" s="1">
        <v>3</v>
      </c>
      <c r="E45" s="7"/>
      <c r="F45" s="9" t="str">
        <f>IF(AssessmentTable[[#This Row],[Response]]="Yes",AssessmentTable[[#This Row],[Weight]],IF(AssessmentTable[[#This Row],[Response]]="Partial",AssessmentTable[[#This Row],[Weight]]*0.5,IF(AssessmentTable[[#This Row],[Response]]="No",0,IF(AND(AssessmentTable[[#This Row],[Response]]="Not Applicable",AssessmentTable[[#This Row],[N/A Justification]]&lt;&gt;""),0,""))))</f>
        <v/>
      </c>
      <c r="G45" s="7"/>
      <c r="H45" s="7"/>
      <c r="I45" s="7"/>
      <c r="J45" s="7"/>
    </row>
    <row r="46" spans="1:10" s="1" customFormat="1" ht="18" customHeight="1">
      <c r="A46" s="1" t="s">
        <v>122</v>
      </c>
      <c r="B46" s="1" t="s">
        <v>65</v>
      </c>
      <c r="C46" s="1" t="s">
        <v>123</v>
      </c>
      <c r="D46" s="1">
        <v>2</v>
      </c>
      <c r="E46" s="7"/>
      <c r="F46" s="9" t="str">
        <f>IF(AssessmentTable[[#This Row],[Response]]="Yes",AssessmentTable[[#This Row],[Weight]],IF(AssessmentTable[[#This Row],[Response]]="Partial",AssessmentTable[[#This Row],[Weight]]*0.5,IF(AssessmentTable[[#This Row],[Response]]="No",0,IF(AND(AssessmentTable[[#This Row],[Response]]="Not Applicable",AssessmentTable[[#This Row],[N/A Justification]]&lt;&gt;""),0,""))))</f>
        <v/>
      </c>
      <c r="G46" s="7"/>
      <c r="H46" s="7"/>
      <c r="I46" s="7"/>
      <c r="J46" s="7"/>
    </row>
    <row r="47" spans="1:10" s="1" customFormat="1" ht="18" customHeight="1">
      <c r="A47" s="1" t="s">
        <v>124</v>
      </c>
      <c r="B47" s="1" t="s">
        <v>65</v>
      </c>
      <c r="C47" s="1" t="s">
        <v>125</v>
      </c>
      <c r="D47" s="1">
        <v>2</v>
      </c>
      <c r="E47" s="7"/>
      <c r="F47" s="9" t="str">
        <f>IF(AssessmentTable[[#This Row],[Response]]="Yes",AssessmentTable[[#This Row],[Weight]],IF(AssessmentTable[[#This Row],[Response]]="Partial",AssessmentTable[[#This Row],[Weight]]*0.5,IF(AssessmentTable[[#This Row],[Response]]="No",0,IF(AND(AssessmentTable[[#This Row],[Response]]="Not Applicable",AssessmentTable[[#This Row],[N/A Justification]]&lt;&gt;""),0,""))))</f>
        <v/>
      </c>
      <c r="G47" s="7"/>
      <c r="H47" s="7"/>
      <c r="I47" s="7"/>
      <c r="J47" s="7"/>
    </row>
    <row r="48" spans="1:10" s="1" customFormat="1" ht="18" customHeight="1">
      <c r="A48" s="1" t="s">
        <v>126</v>
      </c>
      <c r="B48" s="1" t="s">
        <v>127</v>
      </c>
      <c r="C48" s="1" t="s">
        <v>128</v>
      </c>
      <c r="D48" s="1">
        <v>4</v>
      </c>
      <c r="E48" s="7"/>
      <c r="F48" s="9" t="str">
        <f>IF(AssessmentTable[[#This Row],[Response]]="Yes",AssessmentTable[[#This Row],[Weight]],IF(AssessmentTable[[#This Row],[Response]]="Partial",AssessmentTable[[#This Row],[Weight]]*0.5,IF(AssessmentTable[[#This Row],[Response]]="No",0,IF(AND(AssessmentTable[[#This Row],[Response]]="Not Applicable",AssessmentTable[[#This Row],[N/A Justification]]&lt;&gt;""),0,""))))</f>
        <v/>
      </c>
      <c r="G48" s="7"/>
      <c r="H48" s="7"/>
      <c r="I48" s="7"/>
      <c r="J48" s="7"/>
    </row>
    <row r="49" spans="1:10" s="1" customFormat="1" ht="18" customHeight="1">
      <c r="A49" s="1" t="s">
        <v>129</v>
      </c>
      <c r="B49" s="1" t="s">
        <v>127</v>
      </c>
      <c r="C49" s="1" t="s">
        <v>130</v>
      </c>
      <c r="D49" s="1">
        <v>3</v>
      </c>
      <c r="E49" s="7"/>
      <c r="F49" s="9" t="str">
        <f>IF(AssessmentTable[[#This Row],[Response]]="Yes",AssessmentTable[[#This Row],[Weight]],IF(AssessmentTable[[#This Row],[Response]]="Partial",AssessmentTable[[#This Row],[Weight]]*0.5,IF(AssessmentTable[[#This Row],[Response]]="No",0,IF(AND(AssessmentTable[[#This Row],[Response]]="Not Applicable",AssessmentTable[[#This Row],[N/A Justification]]&lt;&gt;""),0,""))))</f>
        <v/>
      </c>
      <c r="G49" s="7"/>
      <c r="H49" s="7"/>
      <c r="I49" s="7"/>
      <c r="J49" s="7"/>
    </row>
    <row r="50" spans="1:10" s="1" customFormat="1" ht="18" customHeight="1">
      <c r="A50" s="1" t="s">
        <v>131</v>
      </c>
      <c r="B50" s="1" t="s">
        <v>127</v>
      </c>
      <c r="C50" s="1" t="s">
        <v>132</v>
      </c>
      <c r="D50" s="1">
        <v>3</v>
      </c>
      <c r="E50" s="7"/>
      <c r="F50" s="9" t="str">
        <f>IF(AssessmentTable[[#This Row],[Response]]="Yes",AssessmentTable[[#This Row],[Weight]],IF(AssessmentTable[[#This Row],[Response]]="Partial",AssessmentTable[[#This Row],[Weight]]*0.5,IF(AssessmentTable[[#This Row],[Response]]="No",0,IF(AND(AssessmentTable[[#This Row],[Response]]="Not Applicable",AssessmentTable[[#This Row],[N/A Justification]]&lt;&gt;""),0,""))))</f>
        <v/>
      </c>
      <c r="G50" s="7"/>
      <c r="H50" s="7"/>
      <c r="I50" s="7"/>
      <c r="J50" s="7"/>
    </row>
    <row r="51" spans="1:10" s="1" customFormat="1" ht="18" customHeight="1">
      <c r="A51" s="1" t="s">
        <v>133</v>
      </c>
      <c r="B51" s="1" t="s">
        <v>127</v>
      </c>
      <c r="C51" s="1" t="s">
        <v>134</v>
      </c>
      <c r="D51" s="1">
        <v>3</v>
      </c>
      <c r="E51" s="7"/>
      <c r="F51" s="9" t="str">
        <f>IF(AssessmentTable[[#This Row],[Response]]="Yes",AssessmentTable[[#This Row],[Weight]],IF(AssessmentTable[[#This Row],[Response]]="Partial",AssessmentTable[[#This Row],[Weight]]*0.5,IF(AssessmentTable[[#This Row],[Response]]="No",0,IF(AND(AssessmentTable[[#This Row],[Response]]="Not Applicable",AssessmentTable[[#This Row],[N/A Justification]]&lt;&gt;""),0,""))))</f>
        <v/>
      </c>
      <c r="G51" s="7"/>
      <c r="H51" s="7"/>
      <c r="I51" s="7"/>
      <c r="J51" s="7"/>
    </row>
    <row r="52" spans="1:10" s="1" customFormat="1" ht="18" customHeight="1">
      <c r="A52" s="1" t="s">
        <v>135</v>
      </c>
      <c r="B52" s="1" t="s">
        <v>127</v>
      </c>
      <c r="C52" s="1" t="s">
        <v>136</v>
      </c>
      <c r="D52" s="1">
        <v>2</v>
      </c>
      <c r="E52" s="7"/>
      <c r="F52" s="9" t="str">
        <f>IF(AssessmentTable[[#This Row],[Response]]="Yes",AssessmentTable[[#This Row],[Weight]],IF(AssessmentTable[[#This Row],[Response]]="Partial",AssessmentTable[[#This Row],[Weight]]*0.5,IF(AssessmentTable[[#This Row],[Response]]="No",0,IF(AND(AssessmentTable[[#This Row],[Response]]="Not Applicable",AssessmentTable[[#This Row],[N/A Justification]]&lt;&gt;""),0,""))))</f>
        <v/>
      </c>
      <c r="G52" s="7"/>
      <c r="H52" s="7"/>
      <c r="I52" s="7"/>
      <c r="J52" s="7"/>
    </row>
    <row r="53" spans="1:10" s="1" customFormat="1" ht="18" customHeight="1">
      <c r="A53" s="1" t="s">
        <v>137</v>
      </c>
      <c r="B53" s="1" t="s">
        <v>60</v>
      </c>
      <c r="C53" s="1" t="s">
        <v>138</v>
      </c>
      <c r="D53" s="1">
        <v>3</v>
      </c>
      <c r="E53" s="7"/>
      <c r="F53" s="9" t="str">
        <f>IF(AssessmentTable[[#This Row],[Response]]="Yes",AssessmentTable[[#This Row],[Weight]],IF(AssessmentTable[[#This Row],[Response]]="Partial",AssessmentTable[[#This Row],[Weight]]*0.5,IF(AssessmentTable[[#This Row],[Response]]="No",0,IF(AND(AssessmentTable[[#This Row],[Response]]="Not Applicable",AssessmentTable[[#This Row],[N/A Justification]]&lt;&gt;""),0,""))))</f>
        <v/>
      </c>
      <c r="G53" s="7"/>
      <c r="H53" s="7"/>
      <c r="I53" s="7"/>
      <c r="J53" s="7"/>
    </row>
    <row r="54" spans="1:10" s="1" customFormat="1" ht="18" customHeight="1">
      <c r="A54" s="1" t="s">
        <v>139</v>
      </c>
      <c r="B54" s="1" t="s">
        <v>60</v>
      </c>
      <c r="C54" s="1" t="s">
        <v>140</v>
      </c>
      <c r="D54" s="1">
        <v>3</v>
      </c>
      <c r="E54" s="7"/>
      <c r="F54" s="9" t="str">
        <f>IF(AssessmentTable[[#This Row],[Response]]="Yes",AssessmentTable[[#This Row],[Weight]],IF(AssessmentTable[[#This Row],[Response]]="Partial",AssessmentTable[[#This Row],[Weight]]*0.5,IF(AssessmentTable[[#This Row],[Response]]="No",0,IF(AND(AssessmentTable[[#This Row],[Response]]="Not Applicable",AssessmentTable[[#This Row],[N/A Justification]]&lt;&gt;""),0,""))))</f>
        <v/>
      </c>
      <c r="G54" s="7"/>
      <c r="H54" s="7"/>
      <c r="I54" s="7"/>
      <c r="J54" s="7"/>
    </row>
    <row r="55" spans="1:10" s="1" customFormat="1" ht="18" customHeight="1">
      <c r="A55" s="1" t="s">
        <v>141</v>
      </c>
      <c r="B55" s="1" t="s">
        <v>60</v>
      </c>
      <c r="C55" s="1" t="s">
        <v>142</v>
      </c>
      <c r="D55" s="1">
        <v>2</v>
      </c>
      <c r="E55" s="7"/>
      <c r="F55" s="9" t="str">
        <f>IF(AssessmentTable[[#This Row],[Response]]="Yes",AssessmentTable[[#This Row],[Weight]],IF(AssessmentTable[[#This Row],[Response]]="Partial",AssessmentTable[[#This Row],[Weight]]*0.5,IF(AssessmentTable[[#This Row],[Response]]="No",0,IF(AND(AssessmentTable[[#This Row],[Response]]="Not Applicable",AssessmentTable[[#This Row],[N/A Justification]]&lt;&gt;""),0,""))))</f>
        <v/>
      </c>
      <c r="G55" s="7"/>
      <c r="H55" s="7"/>
      <c r="I55" s="7"/>
      <c r="J55" s="7"/>
    </row>
    <row r="56" spans="1:10" s="1" customFormat="1" ht="18" customHeight="1">
      <c r="A56" s="1" t="s">
        <v>143</v>
      </c>
      <c r="B56" s="1" t="s">
        <v>60</v>
      </c>
      <c r="C56" s="1" t="s">
        <v>144</v>
      </c>
      <c r="D56" s="1">
        <v>2</v>
      </c>
      <c r="E56" s="7"/>
      <c r="F56" s="9" t="str">
        <f>IF(AssessmentTable[[#This Row],[Response]]="Yes",AssessmentTable[[#This Row],[Weight]],IF(AssessmentTable[[#This Row],[Response]]="Partial",AssessmentTable[[#This Row],[Weight]]*0.5,IF(AssessmentTable[[#This Row],[Response]]="No",0,IF(AND(AssessmentTable[[#This Row],[Response]]="Not Applicable",AssessmentTable[[#This Row],[N/A Justification]]&lt;&gt;""),0,""))))</f>
        <v/>
      </c>
      <c r="G56" s="7"/>
      <c r="H56" s="7"/>
      <c r="I56" s="7"/>
      <c r="J56" s="7"/>
    </row>
    <row r="57" spans="1:10" s="1" customFormat="1" ht="18" customHeight="1">
      <c r="A57" s="1" t="s">
        <v>145</v>
      </c>
      <c r="B57" s="1" t="s">
        <v>70</v>
      </c>
      <c r="C57" s="1" t="s">
        <v>146</v>
      </c>
      <c r="D57" s="1">
        <v>3</v>
      </c>
      <c r="E57" s="7"/>
      <c r="F57" s="9" t="str">
        <f>IF(AssessmentTable[[#This Row],[Response]]="Yes",AssessmentTable[[#This Row],[Weight]],IF(AssessmentTable[[#This Row],[Response]]="Partial",AssessmentTable[[#This Row],[Weight]]*0.5,IF(AssessmentTable[[#This Row],[Response]]="No",0,IF(AND(AssessmentTable[[#This Row],[Response]]="Not Applicable",AssessmentTable[[#This Row],[N/A Justification]]&lt;&gt;""),0,""))))</f>
        <v/>
      </c>
      <c r="G57" s="7"/>
      <c r="H57" s="7"/>
      <c r="I57" s="7"/>
      <c r="J57" s="7"/>
    </row>
    <row r="58" spans="1:10" s="1" customFormat="1" ht="18" customHeight="1">
      <c r="A58" s="1" t="s">
        <v>147</v>
      </c>
      <c r="B58" s="1" t="s">
        <v>70</v>
      </c>
      <c r="C58" s="1" t="s">
        <v>148</v>
      </c>
      <c r="D58" s="1">
        <v>3</v>
      </c>
      <c r="E58" s="7"/>
      <c r="F58" s="9" t="str">
        <f>IF(AssessmentTable[[#This Row],[Response]]="Yes",AssessmentTable[[#This Row],[Weight]],IF(AssessmentTable[[#This Row],[Response]]="Partial",AssessmentTable[[#This Row],[Weight]]*0.5,IF(AssessmentTable[[#This Row],[Response]]="No",0,IF(AND(AssessmentTable[[#This Row],[Response]]="Not Applicable",AssessmentTable[[#This Row],[N/A Justification]]&lt;&gt;""),0,""))))</f>
        <v/>
      </c>
      <c r="G58" s="7"/>
      <c r="H58" s="7"/>
      <c r="I58" s="7"/>
      <c r="J58" s="7"/>
    </row>
    <row r="59" spans="1:10" s="1" customFormat="1" ht="18" customHeight="1">
      <c r="A59" s="1" t="s">
        <v>149</v>
      </c>
      <c r="B59" s="1" t="s">
        <v>70</v>
      </c>
      <c r="C59" s="1" t="s">
        <v>150</v>
      </c>
      <c r="D59" s="1">
        <v>2</v>
      </c>
      <c r="E59" s="7"/>
      <c r="F59" s="9" t="str">
        <f>IF(AssessmentTable[[#This Row],[Response]]="Yes",AssessmentTable[[#This Row],[Weight]],IF(AssessmentTable[[#This Row],[Response]]="Partial",AssessmentTable[[#This Row],[Weight]]*0.5,IF(AssessmentTable[[#This Row],[Response]]="No",0,IF(AND(AssessmentTable[[#This Row],[Response]]="Not Applicable",AssessmentTable[[#This Row],[N/A Justification]]&lt;&gt;""),0,""))))</f>
        <v/>
      </c>
      <c r="G59" s="7"/>
      <c r="H59" s="7"/>
      <c r="I59" s="7"/>
      <c r="J59" s="7"/>
    </row>
    <row r="60" spans="1:10" s="1" customFormat="1" ht="18" customHeight="1">
      <c r="A60" s="1" t="s">
        <v>151</v>
      </c>
      <c r="B60" s="1" t="s">
        <v>70</v>
      </c>
      <c r="C60" s="1" t="s">
        <v>152</v>
      </c>
      <c r="D60" s="1">
        <v>2</v>
      </c>
      <c r="E60" s="7"/>
      <c r="F60" s="9" t="str">
        <f>IF(AssessmentTable[[#This Row],[Response]]="Yes",AssessmentTable[[#This Row],[Weight]],IF(AssessmentTable[[#This Row],[Response]]="Partial",AssessmentTable[[#This Row],[Weight]]*0.5,IF(AssessmentTable[[#This Row],[Response]]="No",0,IF(AND(AssessmentTable[[#This Row],[Response]]="Not Applicable",AssessmentTable[[#This Row],[N/A Justification]]&lt;&gt;""),0,""))))</f>
        <v/>
      </c>
      <c r="G60" s="7"/>
      <c r="H60" s="7"/>
      <c r="I60" s="7"/>
      <c r="J60" s="7"/>
    </row>
  </sheetData>
  <mergeCells count="15">
    <mergeCell ref="A1:J2"/>
    <mergeCell ref="A4:J4"/>
    <mergeCell ref="B5:D5"/>
    <mergeCell ref="B6:D6"/>
    <mergeCell ref="B7:D7"/>
    <mergeCell ref="A12:J12"/>
    <mergeCell ref="A23:J23"/>
    <mergeCell ref="B9:D9"/>
    <mergeCell ref="B10:D10"/>
    <mergeCell ref="G5:J5"/>
    <mergeCell ref="G6:J6"/>
    <mergeCell ref="G7:J7"/>
    <mergeCell ref="G8:J8"/>
    <mergeCell ref="G9:J9"/>
    <mergeCell ref="B8:D8"/>
  </mergeCells>
  <conditionalFormatting sqref="A25:J60">
    <cfRule type="expression" dxfId="31" priority="1">
      <formula>AND($E25="Not Applicable",$G25="")</formula>
    </cfRule>
  </conditionalFormatting>
  <conditionalFormatting sqref="A25:J60">
    <cfRule type="expression" priority="2"/>
  </conditionalFormatting>
  <dataValidations count="2">
    <dataValidation type="list" allowBlank="1" showInputMessage="1" showErrorMessage="1" errorTitle="Select a valid response" error="Choose Yes, Partial, No, or Not Applicable." sqref="E25:E60" xr:uid="{03C48059-2361-4B3C-BD91-A1CB80169EA7}">
      <formula1>"Yes,Partial,No,Not Applicable"</formula1>
    </dataValidation>
    <dataValidation type="list" allowBlank="1" showInputMessage="1" showErrorMessage="1" errorTitle="Select a valid response" error="Choose Pass, Fail, or Not Applicable." sqref="D14:D21" xr:uid="{F17E4BF8-8DC6-4FB0-BF00-907522544ED6}">
      <formula1>"Pass,Fail,Not Applicable"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9A226-69D2-4007-AA26-D70715C10C42}">
  <dimension ref="A1:M60"/>
  <sheetViews>
    <sheetView workbookViewId="0"/>
  </sheetViews>
  <sheetFormatPr defaultRowHeight="15"/>
  <cols>
    <col min="2" max="2" width="27.5703125" customWidth="1"/>
    <col min="3" max="4" width="12.42578125" customWidth="1"/>
    <col min="5" max="5" width="14.28515625" customWidth="1"/>
    <col min="6" max="13" width="13" customWidth="1"/>
  </cols>
  <sheetData>
    <row r="1" spans="1:13" s="1" customFormat="1" ht="27.75" customHeight="1">
      <c r="A1" s="18" t="s">
        <v>153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</row>
    <row r="2" spans="1:13" s="1" customFormat="1" ht="27.75" customHeight="1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</row>
    <row r="3" spans="1:13" s="1" customFormat="1" ht="18" customHeight="1">
      <c r="B3" s="23" t="s">
        <v>154</v>
      </c>
      <c r="C3" s="23"/>
      <c r="D3" s="23"/>
      <c r="F3" s="23" t="s">
        <v>155</v>
      </c>
      <c r="G3" s="23"/>
      <c r="H3" s="23"/>
      <c r="I3" s="23"/>
    </row>
    <row r="4" spans="1:13" s="1" customFormat="1" ht="18" customHeight="1">
      <c r="B4" s="20" t="str">
        <f>IF(OR(COUNTBLANK(AssessmentTable[Response])&gt;0,COUNTIFS(AssessmentTable[Response],"Not Applicable",AssessmentTable[N/A Justification],"")&gt;0,SUM(AssessmentTable[Weight])-SUMIFS(AssessmentTable[Weight],AssessmentTable[Response],"Not Applicable",AssessmentTable[N/A Justification],"&lt;&gt;")=0),"",ROUND(SUM(AssessmentTable[Score])/(SUM(AssessmentTable[Weight])-SUMIFS(AssessmentTable[Weight],AssessmentTable[Response],"Not Applicable",AssessmentTable[N/A Justification],"&lt;&gt;"))*100,1))</f>
        <v/>
      </c>
      <c r="C4" s="21"/>
      <c r="D4" s="21"/>
      <c r="F4" s="22" t="str">
        <f>IF(OR(COUNTBLANK(AssessmentTable[Response])&gt;0,COUNTIFS(AssessmentTable[Response],"Not Applicable",AssessmentTable[N/A Justification],"")&gt;0,COUNTBLANK(CriticalControlsTable[Response])&gt;0,COUNTIFS(CriticalControlsTable[Response],"Not Applicable",CriticalControlsTable[N/A Justification],"")&gt;0,SUM(AssessmentTable[Weight])-SUMIFS(AssessmentTable[Weight],AssessmentTable[Response],"Not Applicable",AssessmentTable[N/A Justification],"&lt;&gt;")=0),"ASSESSMENT INCOMPLETE",IF(COUNTIF(CriticalControlsTable[Response],"Fail")&gt;0,"NOT READY",IF(B4&gt;=90,"READY",IF(B4&gt;=75,"READY WITH CONDITIONS","NOT READY"))))</f>
        <v>ASSESSMENT INCOMPLETE</v>
      </c>
      <c r="G4" s="22"/>
      <c r="H4" s="22"/>
      <c r="I4" s="22"/>
    </row>
    <row r="5" spans="1:13" s="1" customFormat="1" ht="18" customHeight="1">
      <c r="B5" s="21"/>
      <c r="C5" s="21"/>
      <c r="D5" s="21"/>
      <c r="F5" s="22"/>
      <c r="G5" s="22"/>
      <c r="H5" s="22"/>
      <c r="I5" s="22"/>
    </row>
    <row r="6" spans="1:13" s="1" customFormat="1" ht="18" customHeight="1">
      <c r="B6" s="21"/>
      <c r="C6" s="21"/>
      <c r="D6" s="21"/>
      <c r="F6" s="22"/>
      <c r="G6" s="22"/>
      <c r="H6" s="22"/>
      <c r="I6" s="22"/>
    </row>
    <row r="7" spans="1:13" s="1" customFormat="1" ht="18" customHeight="1"/>
    <row r="8" spans="1:13" s="1" customFormat="1" ht="18" customHeight="1">
      <c r="B8" s="1" t="s">
        <v>31</v>
      </c>
      <c r="C8" s="23" t="str">
        <f>IF('Agent Assessment'!B5="","",'Agent Assessment'!B5)</f>
        <v/>
      </c>
      <c r="D8" s="23"/>
      <c r="E8" s="23"/>
    </row>
    <row r="9" spans="1:13" s="1" customFormat="1" ht="18" customHeight="1">
      <c r="B9" s="2" t="s">
        <v>44</v>
      </c>
      <c r="C9" s="2" t="s">
        <v>76</v>
      </c>
      <c r="D9" s="2" t="s">
        <v>156</v>
      </c>
      <c r="E9" s="2" t="s">
        <v>157</v>
      </c>
    </row>
    <row r="10" spans="1:13" s="1" customFormat="1" ht="18" customHeight="1">
      <c r="B10" s="1" t="s">
        <v>51</v>
      </c>
      <c r="C10" s="3" t="str">
        <f>IF(OR(COUNTIFS(AssessmentTable[Domain],B10,AssessmentTable[Response],"")&gt;0,COUNTIFS(AssessmentTable[Domain],B10,AssessmentTable[Response],"Not Applicable",AssessmentTable[N/A Justification],"")&gt;0),"",IFERROR(ROUND(SUMIFS(AssessmentTable[Score],AssessmentTable[Domain],B10)/(SUMIFS(AssessmentTable[Weight],AssessmentTable[Domain],B10)-SUMIFS(AssessmentTable[Weight],AssessmentTable[Domain],B10,AssessmentTable[Response],"Not Applicable",AssessmentTable[N/A Justification],"&lt;&gt;"))*100,1),""))</f>
        <v/>
      </c>
      <c r="D10" s="3" t="str">
        <f>IF(C10="","",100-C10)</f>
        <v/>
      </c>
      <c r="E10" s="1" t="str">
        <f>IF(C10="","INCOMPLETE",TEXT(C10,"0.0")&amp;"/100")</f>
        <v>INCOMPLETE</v>
      </c>
    </row>
    <row r="11" spans="1:13" s="1" customFormat="1" ht="18" customHeight="1">
      <c r="B11" s="1" t="s">
        <v>90</v>
      </c>
      <c r="C11" s="3" t="str">
        <f>IF(OR(COUNTIFS(AssessmentTable[Domain],B11,AssessmentTable[Response],"")&gt;0,COUNTIFS(AssessmentTable[Domain],B11,AssessmentTable[Response],"Not Applicable",AssessmentTable[N/A Justification],"")&gt;0),"",IFERROR(ROUND(SUMIFS(AssessmentTable[Score],AssessmentTable[Domain],B11)/(SUMIFS(AssessmentTable[Weight],AssessmentTable[Domain],B11)-SUMIFS(AssessmentTable[Weight],AssessmentTable[Domain],B11,AssessmentTable[Response],"Not Applicable",AssessmentTable[N/A Justification],"&lt;&gt;"))*100,1),""))</f>
        <v/>
      </c>
      <c r="D11" s="3" t="str">
        <f t="shared" ref="D11:D17" si="0">IF(C11="","",100-C11)</f>
        <v/>
      </c>
      <c r="E11" s="1" t="str">
        <f t="shared" ref="E11:E17" si="1">IF(C11="","INCOMPLETE",TEXT(C11,"0.0")&amp;"/100")</f>
        <v>INCOMPLETE</v>
      </c>
    </row>
    <row r="12" spans="1:13" s="1" customFormat="1" ht="18" customHeight="1">
      <c r="B12" s="1" t="s">
        <v>54</v>
      </c>
      <c r="C12" s="3" t="str">
        <f>IF(OR(COUNTIFS(AssessmentTable[Domain],B12,AssessmentTable[Response],"")&gt;0,COUNTIFS(AssessmentTable[Domain],B12,AssessmentTable[Response],"Not Applicable",AssessmentTable[N/A Justification],"")&gt;0),"",IFERROR(ROUND(SUMIFS(AssessmentTable[Score],AssessmentTable[Domain],B12)/(SUMIFS(AssessmentTable[Weight],AssessmentTable[Domain],B12)-SUMIFS(AssessmentTable[Weight],AssessmentTable[Domain],B12,AssessmentTable[Response],"Not Applicable",AssessmentTable[N/A Justification],"&lt;&gt;"))*100,1),""))</f>
        <v/>
      </c>
      <c r="D12" s="3" t="str">
        <f t="shared" si="0"/>
        <v/>
      </c>
      <c r="E12" s="1" t="str">
        <f t="shared" si="1"/>
        <v>INCOMPLETE</v>
      </c>
    </row>
    <row r="13" spans="1:13" s="1" customFormat="1" ht="18" customHeight="1">
      <c r="B13" s="1" t="s">
        <v>57</v>
      </c>
      <c r="C13" s="3" t="str">
        <f>IF(OR(COUNTIFS(AssessmentTable[Domain],B13,AssessmentTable[Response],"")&gt;0,COUNTIFS(AssessmentTable[Domain],B13,AssessmentTable[Response],"Not Applicable",AssessmentTable[N/A Justification],"")&gt;0),"",IFERROR(ROUND(SUMIFS(AssessmentTable[Score],AssessmentTable[Domain],B13)/(SUMIFS(AssessmentTable[Weight],AssessmentTable[Domain],B13)-SUMIFS(AssessmentTable[Weight],AssessmentTable[Domain],B13,AssessmentTable[Response],"Not Applicable",AssessmentTable[N/A Justification],"&lt;&gt;"))*100,1),""))</f>
        <v/>
      </c>
      <c r="D13" s="3" t="str">
        <f t="shared" si="0"/>
        <v/>
      </c>
      <c r="E13" s="1" t="str">
        <f t="shared" si="1"/>
        <v>INCOMPLETE</v>
      </c>
    </row>
    <row r="14" spans="1:13" s="1" customFormat="1" ht="18" customHeight="1">
      <c r="B14" s="1" t="s">
        <v>65</v>
      </c>
      <c r="C14" s="3" t="str">
        <f>IF(OR(COUNTIFS(AssessmentTable[Domain],B14,AssessmentTable[Response],"")&gt;0,COUNTIFS(AssessmentTable[Domain],B14,AssessmentTable[Response],"Not Applicable",AssessmentTable[N/A Justification],"")&gt;0),"",IFERROR(ROUND(SUMIFS(AssessmentTable[Score],AssessmentTable[Domain],B14)/(SUMIFS(AssessmentTable[Weight],AssessmentTable[Domain],B14)-SUMIFS(AssessmentTable[Weight],AssessmentTable[Domain],B14,AssessmentTable[Response],"Not Applicable",AssessmentTable[N/A Justification],"&lt;&gt;"))*100,1),""))</f>
        <v/>
      </c>
      <c r="D14" s="3" t="str">
        <f t="shared" si="0"/>
        <v/>
      </c>
      <c r="E14" s="1" t="str">
        <f t="shared" si="1"/>
        <v>INCOMPLETE</v>
      </c>
    </row>
    <row r="15" spans="1:13" s="1" customFormat="1" ht="18" customHeight="1">
      <c r="B15" s="1" t="s">
        <v>127</v>
      </c>
      <c r="C15" s="3" t="str">
        <f>IF(OR(COUNTIFS(AssessmentTable[Domain],B15,AssessmentTable[Response],"")&gt;0,COUNTIFS(AssessmentTable[Domain],B15,AssessmentTable[Response],"Not Applicable",AssessmentTable[N/A Justification],"")&gt;0),"",IFERROR(ROUND(SUMIFS(AssessmentTable[Score],AssessmentTable[Domain],B15)/(SUMIFS(AssessmentTable[Weight],AssessmentTable[Domain],B15)-SUMIFS(AssessmentTable[Weight],AssessmentTable[Domain],B15,AssessmentTable[Response],"Not Applicable",AssessmentTable[N/A Justification],"&lt;&gt;"))*100,1),""))</f>
        <v/>
      </c>
      <c r="D15" s="3" t="str">
        <f t="shared" si="0"/>
        <v/>
      </c>
      <c r="E15" s="1" t="str">
        <f t="shared" si="1"/>
        <v>INCOMPLETE</v>
      </c>
    </row>
    <row r="16" spans="1:13" s="1" customFormat="1" ht="18" customHeight="1">
      <c r="B16" s="1" t="s">
        <v>60</v>
      </c>
      <c r="C16" s="3" t="str">
        <f>IF(OR(COUNTIFS(AssessmentTable[Domain],B16,AssessmentTable[Response],"")&gt;0,COUNTIFS(AssessmentTable[Domain],B16,AssessmentTable[Response],"Not Applicable",AssessmentTable[N/A Justification],"")&gt;0),"",IFERROR(ROUND(SUMIFS(AssessmentTable[Score],AssessmentTable[Domain],B16)/(SUMIFS(AssessmentTable[Weight],AssessmentTable[Domain],B16)-SUMIFS(AssessmentTable[Weight],AssessmentTable[Domain],B16,AssessmentTable[Response],"Not Applicable",AssessmentTable[N/A Justification],"&lt;&gt;"))*100,1),""))</f>
        <v/>
      </c>
      <c r="D16" s="3" t="str">
        <f t="shared" si="0"/>
        <v/>
      </c>
      <c r="E16" s="1" t="str">
        <f t="shared" si="1"/>
        <v>INCOMPLETE</v>
      </c>
    </row>
    <row r="17" spans="2:13" s="1" customFormat="1" ht="18" customHeight="1">
      <c r="B17" s="4" t="s">
        <v>70</v>
      </c>
      <c r="C17" s="5" t="str">
        <f>IF(OR(COUNTIFS(AssessmentTable[Domain],B17,AssessmentTable[Response],"")&gt;0,COUNTIFS(AssessmentTable[Domain],B17,AssessmentTable[Response],"Not Applicable",AssessmentTable[N/A Justification],"")&gt;0),"",IFERROR(ROUND(SUMIFS(AssessmentTable[Score],AssessmentTable[Domain],B17)/(SUMIFS(AssessmentTable[Weight],AssessmentTable[Domain],B17)-SUMIFS(AssessmentTable[Weight],AssessmentTable[Domain],B17,AssessmentTable[Response],"Not Applicable",AssessmentTable[N/A Justification],"&lt;&gt;"))*100,1),""))</f>
        <v/>
      </c>
      <c r="D17" s="5" t="str">
        <f t="shared" si="0"/>
        <v/>
      </c>
      <c r="E17" s="4" t="str">
        <f t="shared" si="1"/>
        <v>INCOMPLETE</v>
      </c>
    </row>
    <row r="18" spans="2:13" s="1" customFormat="1" ht="18" customHeight="1"/>
    <row r="19" spans="2:13" s="1" customFormat="1" ht="18" customHeight="1"/>
    <row r="20" spans="2:13" s="1" customFormat="1" ht="18" customHeight="1">
      <c r="B20" s="26"/>
      <c r="C20" s="26"/>
      <c r="D20" s="26"/>
      <c r="E20" s="26"/>
    </row>
    <row r="21" spans="2:13" s="1" customFormat="1" ht="18" customHeight="1"/>
    <row r="22" spans="2:13" s="1" customFormat="1" ht="18" customHeight="1"/>
    <row r="23" spans="2:13" s="1" customFormat="1" ht="18" customHeight="1"/>
    <row r="24" spans="2:13" s="1" customFormat="1" ht="18" customHeight="1"/>
    <row r="25" spans="2:13" s="1" customFormat="1" ht="18" customHeight="1"/>
    <row r="26" spans="2:13" s="1" customFormat="1" ht="18" customHeight="1"/>
    <row r="27" spans="2:13" s="1" customFormat="1" ht="18" customHeight="1">
      <c r="B27" s="27" t="s">
        <v>158</v>
      </c>
      <c r="C27" s="27"/>
      <c r="D27" s="27"/>
      <c r="E27" s="27"/>
      <c r="G27" s="27" t="s">
        <v>159</v>
      </c>
      <c r="H27" s="27"/>
      <c r="I27" s="27"/>
      <c r="J27" s="27"/>
      <c r="K27" s="27"/>
      <c r="L27" s="27"/>
      <c r="M27" s="27"/>
    </row>
    <row r="28" spans="2:13" s="1" customFormat="1" ht="18" customHeight="1">
      <c r="B28" s="1" t="s">
        <v>31</v>
      </c>
      <c r="C28" s="23" t="str">
        <f>IF('Agent Assessment'!B5="","",'Agent Assessment'!B5)</f>
        <v/>
      </c>
      <c r="D28" s="23"/>
      <c r="E28" s="23"/>
      <c r="G28" s="23" t="s">
        <v>160</v>
      </c>
      <c r="H28" s="23"/>
      <c r="I28" s="24"/>
      <c r="J28" s="24"/>
      <c r="K28" s="24"/>
      <c r="L28" s="24"/>
      <c r="M28" s="24"/>
    </row>
    <row r="29" spans="2:13" s="1" customFormat="1" ht="18" customHeight="1">
      <c r="B29" s="1" t="s">
        <v>161</v>
      </c>
      <c r="C29" s="23" t="str">
        <f>IF(OR(COUNTBLANK(CriticalControlsTable[Response])&gt;0,COUNTIFS(CriticalControlsTable[Response],"Not Applicable",CriticalControlsTable[N/A Justification],"")&gt;0),"INCOMPLETE",IF(COUNTIF(CriticalControlsTable[Response],"Fail")&gt;0,"FAIL","PASS"))</f>
        <v>INCOMPLETE</v>
      </c>
      <c r="D29" s="23"/>
      <c r="E29" s="23"/>
      <c r="G29" s="23" t="s">
        <v>162</v>
      </c>
      <c r="H29" s="23"/>
      <c r="I29" s="24"/>
      <c r="J29" s="24"/>
      <c r="K29" s="24"/>
      <c r="L29" s="24"/>
      <c r="M29" s="24"/>
    </row>
    <row r="30" spans="2:13" s="1" customFormat="1" ht="18" customHeight="1">
      <c r="B30" s="1" t="s">
        <v>163</v>
      </c>
      <c r="C30" s="23">
        <f>COUNTIF(CriticalControlsTable[Response],"Pass")</f>
        <v>0</v>
      </c>
      <c r="D30" s="23"/>
      <c r="E30" s="23"/>
      <c r="G30" s="23"/>
      <c r="H30" s="23"/>
      <c r="I30" s="24"/>
      <c r="J30" s="24"/>
      <c r="K30" s="24"/>
      <c r="L30" s="24"/>
      <c r="M30" s="24"/>
    </row>
    <row r="31" spans="2:13" s="1" customFormat="1" ht="18" customHeight="1">
      <c r="B31" s="1" t="s">
        <v>164</v>
      </c>
      <c r="C31" s="23">
        <f>COUNTIF(CriticalControlsTable[Response],"Fail")</f>
        <v>0</v>
      </c>
      <c r="D31" s="23"/>
      <c r="E31" s="23"/>
      <c r="G31" s="23" t="s">
        <v>165</v>
      </c>
      <c r="H31" s="23"/>
      <c r="I31" s="24"/>
      <c r="J31" s="24"/>
      <c r="K31" s="24"/>
      <c r="L31" s="24"/>
      <c r="M31" s="24"/>
    </row>
    <row r="32" spans="2:13" s="1" customFormat="1" ht="18" customHeight="1">
      <c r="B32" s="1" t="s">
        <v>166</v>
      </c>
      <c r="C32" s="23">
        <f>COUNTIF(AssessmentTable[Response],"Yes")</f>
        <v>0</v>
      </c>
      <c r="D32" s="23"/>
      <c r="E32" s="23"/>
      <c r="G32" s="23" t="s">
        <v>167</v>
      </c>
      <c r="H32" s="23"/>
      <c r="I32" s="24"/>
      <c r="J32" s="24"/>
      <c r="K32" s="24"/>
      <c r="L32" s="24"/>
      <c r="M32" s="24"/>
    </row>
    <row r="33" spans="1:13" s="1" customFormat="1" ht="18" customHeight="1">
      <c r="B33" s="1" t="s">
        <v>168</v>
      </c>
      <c r="C33" s="23">
        <f>COUNTIF(AssessmentTable[Response],"Partial")</f>
        <v>0</v>
      </c>
      <c r="D33" s="23"/>
      <c r="E33" s="23"/>
      <c r="G33" s="23" t="s">
        <v>169</v>
      </c>
      <c r="H33" s="23"/>
      <c r="I33" s="24"/>
      <c r="J33" s="24"/>
      <c r="K33" s="24"/>
      <c r="L33" s="24"/>
      <c r="M33" s="24"/>
    </row>
    <row r="34" spans="1:13" s="1" customFormat="1" ht="18" customHeight="1">
      <c r="B34" s="1" t="s">
        <v>170</v>
      </c>
      <c r="C34" s="23">
        <f>COUNTIF(AssessmentTable[Response],"No")</f>
        <v>0</v>
      </c>
      <c r="D34" s="23"/>
      <c r="E34" s="23"/>
      <c r="G34" s="23" t="s">
        <v>171</v>
      </c>
      <c r="H34" s="23"/>
      <c r="I34" s="25"/>
      <c r="J34" s="24"/>
      <c r="K34" s="24"/>
      <c r="L34" s="24"/>
      <c r="M34" s="24"/>
    </row>
    <row r="35" spans="1:13" s="1" customFormat="1" ht="18" customHeight="1">
      <c r="B35" s="1" t="s">
        <v>172</v>
      </c>
      <c r="C35" s="23">
        <f>COUNTIF(AssessmentTable[Response],"Not Applicable")</f>
        <v>0</v>
      </c>
      <c r="D35" s="23"/>
      <c r="E35" s="23"/>
      <c r="G35" s="23" t="s">
        <v>173</v>
      </c>
      <c r="H35" s="23"/>
      <c r="I35" s="25"/>
      <c r="J35" s="24"/>
      <c r="K35" s="24"/>
      <c r="L35" s="24"/>
      <c r="M35" s="24"/>
    </row>
    <row r="36" spans="1:13" s="1" customFormat="1" ht="18" customHeight="1">
      <c r="B36" s="1" t="s">
        <v>174</v>
      </c>
      <c r="C36" s="23">
        <f>COUNTIF('Remediation Plan'!D5:D100,"Partial")+COUNTIF('Remediation Plan'!D5:D100,"No")+COUNTIF('Remediation Plan'!D5:D100,"Fail")-COUNTIF('Remediation Plan'!J5:J100,"Complete")-COUNTIF('Remediation Plan'!J5:J100,"Risk Accepted")</f>
        <v>0</v>
      </c>
      <c r="D36" s="23"/>
      <c r="E36" s="23"/>
    </row>
    <row r="37" spans="1:13" s="1" customFormat="1" ht="18" customHeight="1">
      <c r="B37" s="1" t="s">
        <v>175</v>
      </c>
      <c r="C37" s="23" t="str" cm="1">
        <f t="array" ref="C37">IF(COUNTA(AssessmentTable[Response])=0,"",SUMPRODUCT(--(AssessmentTable[Response]&lt;&gt;""),--(AssessmentTable[Response]&lt;&gt;"Not Applicable"),--(COUNTIFS(EvidenceTable[Control ID],AssessmentTable[Control ID],EvidenceTable[Review Status],"Accepted")=0)))</f>
        <v/>
      </c>
      <c r="D37" s="23"/>
      <c r="E37" s="23"/>
    </row>
    <row r="38" spans="1:13" s="1" customFormat="1" ht="18" customHeight="1"/>
    <row r="39" spans="1:13" s="1" customFormat="1" ht="18" customHeight="1">
      <c r="A39" s="17" t="s">
        <v>29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</row>
    <row r="40" spans="1:13" s="1" customFormat="1" ht="18" customHeight="1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</row>
    <row r="41" spans="1:13" s="1" customFormat="1" ht="18" customHeight="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</row>
    <row r="42" spans="1:13" s="1" customFormat="1" ht="18" customHeight="1"/>
    <row r="43" spans="1:13" s="1" customFormat="1" ht="18" customHeight="1">
      <c r="A43" s="28" t="s">
        <v>176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</row>
    <row r="44" spans="1:13" s="1" customFormat="1" ht="18" customHeight="1"/>
    <row r="45" spans="1:13" s="1" customFormat="1" ht="18" customHeight="1"/>
    <row r="46" spans="1:13" s="1" customFormat="1" ht="18" customHeight="1"/>
    <row r="47" spans="1:13" s="1" customFormat="1" ht="18" customHeight="1"/>
    <row r="48" spans="1:13" s="1" customFormat="1" ht="18" customHeight="1"/>
    <row r="49" s="1" customFormat="1" ht="18" customHeight="1"/>
    <row r="50" s="1" customFormat="1" ht="18" customHeight="1"/>
    <row r="51" s="1" customFormat="1" ht="18" customHeight="1"/>
    <row r="52" s="1" customFormat="1" ht="18" customHeight="1"/>
    <row r="53" s="1" customFormat="1" ht="18" customHeight="1"/>
    <row r="54" s="1" customFormat="1" ht="18" customHeight="1"/>
    <row r="55" s="1" customFormat="1" ht="18" customHeight="1"/>
    <row r="56" s="1" customFormat="1" ht="18" customHeight="1"/>
    <row r="57" s="1" customFormat="1" ht="18" customHeight="1"/>
    <row r="58" s="1" customFormat="1" ht="18" customHeight="1"/>
    <row r="59" s="1" customFormat="1" ht="18" customHeight="1"/>
    <row r="60" s="1" customFormat="1" ht="18" customHeight="1"/>
  </sheetData>
  <mergeCells count="35">
    <mergeCell ref="A1:M2"/>
    <mergeCell ref="B4:D6"/>
    <mergeCell ref="F4:I6"/>
    <mergeCell ref="B20:E20"/>
    <mergeCell ref="B3:D3"/>
    <mergeCell ref="F3:I3"/>
    <mergeCell ref="C8:E8"/>
    <mergeCell ref="C36:E36"/>
    <mergeCell ref="B27:E27"/>
    <mergeCell ref="C28:E28"/>
    <mergeCell ref="C29:E29"/>
    <mergeCell ref="C30:E30"/>
    <mergeCell ref="C31:E31"/>
    <mergeCell ref="G35:H35"/>
    <mergeCell ref="I35:M35"/>
    <mergeCell ref="C32:E32"/>
    <mergeCell ref="C33:E33"/>
    <mergeCell ref="C34:E34"/>
    <mergeCell ref="C35:E35"/>
    <mergeCell ref="A39:M41"/>
    <mergeCell ref="A43:M43"/>
    <mergeCell ref="C37:E37"/>
    <mergeCell ref="G27:M27"/>
    <mergeCell ref="G28:H28"/>
    <mergeCell ref="I28:M28"/>
    <mergeCell ref="G29:H30"/>
    <mergeCell ref="I29:M30"/>
    <mergeCell ref="G31:H31"/>
    <mergeCell ref="I31:M31"/>
    <mergeCell ref="G32:H32"/>
    <mergeCell ref="I32:M32"/>
    <mergeCell ref="G33:H33"/>
    <mergeCell ref="I33:M33"/>
    <mergeCell ref="G34:H34"/>
    <mergeCell ref="I34:M34"/>
  </mergeCells>
  <dataValidations count="2">
    <dataValidation type="list" allowBlank="1" showInputMessage="1" showErrorMessage="1" sqref="I28" xr:uid="{C73B1D86-AD57-4633-802D-09BC3B6BEC95}">
      <formula1>"Approved for Production,Approved with Conditions,Not Approved,Risk Acceptance Required"</formula1>
    </dataValidation>
    <dataValidation type="list" allowBlank="1" showInputMessage="1" showErrorMessage="1" sqref="I31" xr:uid="{25659AFD-F884-4D56-A989-E54E16E63D17}">
      <formula1>"Yes,No"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CD446-B070-4673-B5BB-15C723FC3BEA}">
  <dimension ref="A1:J100"/>
  <sheetViews>
    <sheetView workbookViewId="0"/>
  </sheetViews>
  <sheetFormatPr defaultRowHeight="15"/>
  <cols>
    <col min="1" max="1" width="13.7109375" customWidth="1"/>
    <col min="2" max="2" width="21" customWidth="1"/>
    <col min="3" max="3" width="51.42578125" customWidth="1"/>
    <col min="4" max="4" width="13.7109375" customWidth="1"/>
    <col min="5" max="5" width="23.85546875" customWidth="1"/>
    <col min="6" max="7" width="44.7109375" customWidth="1"/>
    <col min="8" max="8" width="17.140625" customWidth="1"/>
    <col min="9" max="9" width="13" customWidth="1"/>
  </cols>
  <sheetData>
    <row r="1" spans="1:10" s="1" customFormat="1" ht="18" customHeight="1">
      <c r="A1" s="23" t="s">
        <v>177</v>
      </c>
      <c r="B1" s="23"/>
      <c r="C1" s="23"/>
      <c r="D1" s="23"/>
      <c r="E1" s="23"/>
      <c r="F1" s="23"/>
      <c r="G1" s="23"/>
      <c r="H1" s="23"/>
      <c r="I1" s="23"/>
      <c r="J1" s="23"/>
    </row>
    <row r="2" spans="1:10" s="1" customFormat="1" ht="18" customHeight="1">
      <c r="A2" s="23"/>
      <c r="B2" s="23"/>
      <c r="C2" s="23"/>
      <c r="D2" s="23"/>
      <c r="E2" s="23"/>
      <c r="F2" s="23"/>
      <c r="G2" s="23"/>
      <c r="H2" s="23"/>
      <c r="I2" s="23"/>
      <c r="J2" s="23"/>
    </row>
    <row r="3" spans="1:10" s="1" customFormat="1" ht="18" customHeight="1">
      <c r="A3"/>
      <c r="B3"/>
      <c r="C3"/>
      <c r="D3"/>
      <c r="E3"/>
      <c r="F3"/>
      <c r="G3"/>
      <c r="H3"/>
      <c r="I3"/>
    </row>
    <row r="4" spans="1:10" s="1" customFormat="1" ht="30" customHeight="1">
      <c r="A4" s="10" t="s">
        <v>73</v>
      </c>
      <c r="B4" s="10" t="s">
        <v>44</v>
      </c>
      <c r="C4" s="10" t="s">
        <v>74</v>
      </c>
      <c r="D4" s="10" t="s">
        <v>178</v>
      </c>
      <c r="E4" s="10" t="s">
        <v>78</v>
      </c>
      <c r="F4" s="10" t="s">
        <v>179</v>
      </c>
      <c r="G4" s="10" t="s">
        <v>48</v>
      </c>
      <c r="H4" s="10" t="s">
        <v>180</v>
      </c>
      <c r="I4" s="10" t="s">
        <v>181</v>
      </c>
      <c r="J4" s="2" t="s">
        <v>182</v>
      </c>
    </row>
    <row r="5" spans="1:10" s="1" customFormat="1" ht="38.25" customHeight="1">
      <c r="A5" s="11" t="str" cm="1">
        <f t="array" ref="A5">_xlfn.LET(_xlpm.a,_xlfn.VSTACK(_xlfn.HSTACK(AssessmentTable[Control ID],AssessmentTable[Domain],AssessmentTable[Control],AssessmentTable[Response],AssessmentTable[Finding],IF(AssessmentTable[Response]="No","Implement the control fully and retain evidence of operating effectiveness.","Complete the remaining control requirements and retain evidence of closure."),AssessmentTable[Owner]),_xlfn.HSTACK(CriticalControlsTable[Critical ID],CriticalControlsTable[Domain],CriticalControlsTable[Critical Control],CriticalControlsTable[Response],CriticalControlsTable[Finding / Notes],IF(CriticalControlsTable[Response]="Fail","Resolve the critical control failure and document validation before production approval.",""),CriticalControlsTable[Owner])),_xlfn._xlws.FILTER(_xlpm.a,(INDEX(_xlpm.a,,4)="Partial")+(INDEX(_xlpm.a,,4)="No")+(INDEX(_xlpm.a,,4)="Fail"),""))</f>
        <v/>
      </c>
      <c r="B5" s="11"/>
      <c r="C5" s="11"/>
      <c r="D5" s="11"/>
      <c r="E5" s="11"/>
      <c r="F5" s="11"/>
      <c r="G5" s="11"/>
      <c r="H5" s="6"/>
      <c r="I5" s="14"/>
      <c r="J5" s="7"/>
    </row>
    <row r="6" spans="1:10" s="1" customFormat="1" ht="38.25" customHeight="1">
      <c r="A6" s="12"/>
      <c r="B6" s="12"/>
      <c r="C6" s="13"/>
      <c r="D6" s="13"/>
      <c r="E6" s="13"/>
      <c r="F6" s="13"/>
      <c r="G6" s="13"/>
      <c r="H6" s="15"/>
      <c r="I6" s="15"/>
      <c r="J6" s="7"/>
    </row>
    <row r="7" spans="1:10" s="1" customFormat="1" ht="38.25" customHeight="1">
      <c r="A7" s="12"/>
      <c r="B7" s="12"/>
      <c r="C7" s="13"/>
      <c r="D7" s="13"/>
      <c r="E7" s="13"/>
      <c r="F7" s="13"/>
      <c r="G7" s="13"/>
      <c r="H7" s="15"/>
      <c r="I7" s="15"/>
      <c r="J7" s="7"/>
    </row>
    <row r="8" spans="1:10" s="1" customFormat="1" ht="38.25" customHeight="1">
      <c r="A8" s="12"/>
      <c r="B8" s="12"/>
      <c r="C8" s="13"/>
      <c r="D8" s="13"/>
      <c r="E8" s="13"/>
      <c r="F8" s="13"/>
      <c r="G8" s="13"/>
      <c r="H8" s="15"/>
      <c r="I8" s="15"/>
      <c r="J8" s="7"/>
    </row>
    <row r="9" spans="1:10" s="1" customFormat="1" ht="38.25" customHeight="1">
      <c r="A9" s="12"/>
      <c r="B9" s="12"/>
      <c r="C9" s="13"/>
      <c r="D9" s="13"/>
      <c r="E9" s="13"/>
      <c r="F9" s="13"/>
      <c r="G9" s="13"/>
      <c r="H9" s="15"/>
      <c r="I9" s="15"/>
      <c r="J9" s="7"/>
    </row>
    <row r="10" spans="1:10" s="1" customFormat="1" ht="38.25" customHeight="1">
      <c r="A10" s="12"/>
      <c r="B10" s="12"/>
      <c r="C10" s="13"/>
      <c r="D10" s="13"/>
      <c r="E10" s="13"/>
      <c r="F10" s="13"/>
      <c r="G10" s="13"/>
      <c r="H10" s="15"/>
      <c r="I10" s="15"/>
      <c r="J10" s="7"/>
    </row>
    <row r="11" spans="1:10" s="1" customFormat="1" ht="38.25" customHeight="1">
      <c r="A11" s="12"/>
      <c r="B11" s="12"/>
      <c r="C11" s="13"/>
      <c r="D11" s="13"/>
      <c r="E11" s="13"/>
      <c r="F11" s="13"/>
      <c r="G11" s="13"/>
      <c r="H11" s="15"/>
      <c r="I11" s="15"/>
      <c r="J11" s="7"/>
    </row>
    <row r="12" spans="1:10" s="1" customFormat="1" ht="38.25" customHeight="1">
      <c r="A12" s="12"/>
      <c r="B12" s="12"/>
      <c r="C12" s="13"/>
      <c r="D12" s="13"/>
      <c r="E12" s="13"/>
      <c r="F12" s="13"/>
      <c r="G12" s="13"/>
      <c r="H12" s="15"/>
      <c r="I12" s="15"/>
      <c r="J12" s="7"/>
    </row>
    <row r="13" spans="1:10" s="1" customFormat="1" ht="38.25" customHeight="1">
      <c r="A13" s="12"/>
      <c r="B13" s="12"/>
      <c r="C13" s="13"/>
      <c r="D13" s="13"/>
      <c r="E13" s="13"/>
      <c r="F13" s="13"/>
      <c r="G13" s="13"/>
      <c r="H13" s="15"/>
      <c r="I13" s="15"/>
      <c r="J13" s="7"/>
    </row>
    <row r="14" spans="1:10" s="1" customFormat="1" ht="38.25" customHeight="1">
      <c r="A14" s="12"/>
      <c r="B14" s="12"/>
      <c r="C14" s="13"/>
      <c r="D14" s="13"/>
      <c r="E14" s="13"/>
      <c r="F14" s="13"/>
      <c r="G14" s="13"/>
      <c r="H14" s="15"/>
      <c r="I14" s="15"/>
      <c r="J14" s="7"/>
    </row>
    <row r="15" spans="1:10" s="1" customFormat="1" ht="38.25" customHeight="1">
      <c r="A15" s="12"/>
      <c r="B15" s="12"/>
      <c r="C15" s="13"/>
      <c r="D15" s="13"/>
      <c r="E15" s="13"/>
      <c r="F15" s="13"/>
      <c r="G15" s="13"/>
      <c r="H15" s="15"/>
      <c r="I15" s="15"/>
      <c r="J15" s="7"/>
    </row>
    <row r="16" spans="1:10" s="1" customFormat="1" ht="38.25" customHeight="1">
      <c r="A16" s="12"/>
      <c r="B16" s="12"/>
      <c r="C16" s="13"/>
      <c r="D16" s="13"/>
      <c r="E16" s="13"/>
      <c r="F16" s="13"/>
      <c r="G16" s="13"/>
      <c r="H16" s="15"/>
      <c r="I16" s="15"/>
      <c r="J16" s="7"/>
    </row>
    <row r="17" spans="1:10" s="1" customFormat="1" ht="38.25" customHeight="1">
      <c r="A17" s="12"/>
      <c r="B17" s="12"/>
      <c r="C17" s="13"/>
      <c r="D17" s="13"/>
      <c r="E17" s="13"/>
      <c r="F17" s="13"/>
      <c r="G17" s="13"/>
      <c r="H17" s="15"/>
      <c r="I17" s="15"/>
      <c r="J17" s="7"/>
    </row>
    <row r="18" spans="1:10" s="1" customFormat="1" ht="38.25" customHeight="1">
      <c r="A18" s="12"/>
      <c r="B18" s="12"/>
      <c r="C18" s="13"/>
      <c r="D18" s="13"/>
      <c r="E18" s="13"/>
      <c r="F18" s="13"/>
      <c r="G18" s="13"/>
      <c r="H18" s="15"/>
      <c r="I18" s="15"/>
      <c r="J18" s="7"/>
    </row>
    <row r="19" spans="1:10" s="1" customFormat="1" ht="38.25" customHeight="1">
      <c r="A19" s="12"/>
      <c r="B19" s="12"/>
      <c r="C19" s="13"/>
      <c r="D19" s="13"/>
      <c r="E19" s="13"/>
      <c r="F19" s="13"/>
      <c r="G19" s="13"/>
      <c r="H19" s="15"/>
      <c r="I19" s="15"/>
      <c r="J19" s="7"/>
    </row>
    <row r="20" spans="1:10" s="1" customFormat="1" ht="38.25" customHeight="1">
      <c r="A20" s="12"/>
      <c r="B20" s="12"/>
      <c r="C20" s="13"/>
      <c r="D20" s="13"/>
      <c r="E20" s="13"/>
      <c r="F20" s="13"/>
      <c r="G20" s="13"/>
      <c r="H20" s="15"/>
      <c r="I20" s="15"/>
      <c r="J20" s="7"/>
    </row>
    <row r="21" spans="1:10" s="1" customFormat="1" ht="38.25" customHeight="1">
      <c r="A21" s="12"/>
      <c r="B21" s="12"/>
      <c r="C21" s="13"/>
      <c r="D21" s="13"/>
      <c r="E21" s="13"/>
      <c r="F21" s="13"/>
      <c r="G21" s="13"/>
      <c r="H21" s="15"/>
      <c r="I21" s="15"/>
      <c r="J21" s="7"/>
    </row>
    <row r="22" spans="1:10" s="1" customFormat="1" ht="38.25" customHeight="1">
      <c r="A22" s="12"/>
      <c r="B22" s="12"/>
      <c r="C22" s="13"/>
      <c r="D22" s="13"/>
      <c r="E22" s="13"/>
      <c r="F22" s="13"/>
      <c r="G22" s="13"/>
      <c r="H22" s="15"/>
      <c r="I22" s="15"/>
      <c r="J22" s="7"/>
    </row>
    <row r="23" spans="1:10" s="1" customFormat="1" ht="38.25" customHeight="1">
      <c r="A23" s="12"/>
      <c r="B23" s="12"/>
      <c r="C23" s="13"/>
      <c r="D23" s="13"/>
      <c r="E23" s="13"/>
      <c r="F23" s="13"/>
      <c r="G23" s="13"/>
      <c r="H23" s="15"/>
      <c r="I23" s="15"/>
      <c r="J23" s="7"/>
    </row>
    <row r="24" spans="1:10" s="1" customFormat="1" ht="38.25" customHeight="1">
      <c r="A24" s="12"/>
      <c r="B24" s="12"/>
      <c r="C24" s="13"/>
      <c r="D24" s="13"/>
      <c r="E24" s="13"/>
      <c r="F24" s="13"/>
      <c r="G24" s="13"/>
      <c r="H24" s="15"/>
      <c r="I24" s="15"/>
      <c r="J24" s="7"/>
    </row>
    <row r="25" spans="1:10" s="1" customFormat="1" ht="38.25" customHeight="1">
      <c r="A25" s="12"/>
      <c r="B25" s="12"/>
      <c r="C25" s="13"/>
      <c r="D25" s="13"/>
      <c r="E25" s="13"/>
      <c r="F25" s="13"/>
      <c r="G25" s="13"/>
      <c r="H25" s="15"/>
      <c r="I25" s="15"/>
      <c r="J25" s="7"/>
    </row>
    <row r="26" spans="1:10" s="1" customFormat="1" ht="38.25" customHeight="1">
      <c r="A26" s="12"/>
      <c r="B26" s="12"/>
      <c r="C26" s="13"/>
      <c r="D26" s="13"/>
      <c r="E26" s="13"/>
      <c r="F26" s="13"/>
      <c r="G26" s="13"/>
      <c r="H26" s="15"/>
      <c r="I26" s="15"/>
      <c r="J26" s="7"/>
    </row>
    <row r="27" spans="1:10" s="1" customFormat="1" ht="38.25" customHeight="1">
      <c r="A27" s="12"/>
      <c r="B27" s="12"/>
      <c r="C27" s="13"/>
      <c r="D27" s="13"/>
      <c r="E27" s="13"/>
      <c r="F27" s="13"/>
      <c r="G27" s="13"/>
      <c r="H27" s="15"/>
      <c r="I27" s="15"/>
      <c r="J27" s="7"/>
    </row>
    <row r="28" spans="1:10" s="1" customFormat="1" ht="38.25" customHeight="1">
      <c r="A28" s="12"/>
      <c r="B28" s="12"/>
      <c r="C28" s="13"/>
      <c r="D28" s="13"/>
      <c r="E28" s="13"/>
      <c r="F28" s="13"/>
      <c r="G28" s="13"/>
      <c r="H28" s="15"/>
      <c r="I28" s="15"/>
      <c r="J28" s="7"/>
    </row>
    <row r="29" spans="1:10" s="1" customFormat="1" ht="38.25" customHeight="1">
      <c r="A29" s="12"/>
      <c r="B29" s="12"/>
      <c r="C29" s="13"/>
      <c r="D29" s="13"/>
      <c r="E29" s="13"/>
      <c r="F29" s="13"/>
      <c r="G29" s="13"/>
      <c r="H29" s="15"/>
      <c r="I29" s="15"/>
      <c r="J29" s="7"/>
    </row>
    <row r="30" spans="1:10" s="1" customFormat="1" ht="38.25" customHeight="1">
      <c r="A30" s="12"/>
      <c r="B30" s="12"/>
      <c r="C30" s="13"/>
      <c r="D30" s="13"/>
      <c r="E30" s="13"/>
      <c r="F30" s="13"/>
      <c r="G30" s="13"/>
      <c r="H30" s="15"/>
      <c r="I30" s="15"/>
      <c r="J30" s="7"/>
    </row>
    <row r="31" spans="1:10" s="1" customFormat="1" ht="38.25" customHeight="1">
      <c r="A31" s="12"/>
      <c r="B31" s="12"/>
      <c r="C31" s="13"/>
      <c r="D31" s="13"/>
      <c r="E31" s="13"/>
      <c r="F31" s="13"/>
      <c r="G31" s="13"/>
      <c r="H31" s="15"/>
      <c r="I31" s="15"/>
      <c r="J31" s="7"/>
    </row>
    <row r="32" spans="1:10" s="1" customFormat="1" ht="38.25" customHeight="1">
      <c r="A32" s="12"/>
      <c r="B32" s="12"/>
      <c r="C32" s="13"/>
      <c r="D32" s="13"/>
      <c r="E32" s="13"/>
      <c r="F32" s="13"/>
      <c r="G32" s="13"/>
      <c r="H32" s="15"/>
      <c r="I32" s="15"/>
      <c r="J32" s="7"/>
    </row>
    <row r="33" spans="1:10" s="1" customFormat="1" ht="38.25" customHeight="1">
      <c r="A33" s="12"/>
      <c r="B33" s="12"/>
      <c r="C33" s="13"/>
      <c r="D33" s="13"/>
      <c r="E33" s="13"/>
      <c r="F33" s="13"/>
      <c r="G33" s="13"/>
      <c r="H33" s="15"/>
      <c r="I33" s="15"/>
      <c r="J33" s="7"/>
    </row>
    <row r="34" spans="1:10" s="1" customFormat="1" ht="38.25" customHeight="1">
      <c r="A34" s="12"/>
      <c r="B34" s="12"/>
      <c r="C34" s="13"/>
      <c r="D34" s="13"/>
      <c r="E34" s="13"/>
      <c r="F34" s="13"/>
      <c r="G34" s="13"/>
      <c r="H34" s="15"/>
      <c r="I34" s="15"/>
      <c r="J34" s="7"/>
    </row>
    <row r="35" spans="1:10" s="1" customFormat="1" ht="38.25" customHeight="1">
      <c r="A35" s="12"/>
      <c r="B35" s="12"/>
      <c r="C35" s="13"/>
      <c r="D35" s="13"/>
      <c r="E35" s="13"/>
      <c r="F35" s="13"/>
      <c r="G35" s="13"/>
      <c r="H35" s="15"/>
      <c r="I35" s="15"/>
      <c r="J35" s="7"/>
    </row>
    <row r="36" spans="1:10" s="1" customFormat="1" ht="38.25" customHeight="1">
      <c r="A36" s="12"/>
      <c r="B36" s="12"/>
      <c r="C36" s="13"/>
      <c r="D36" s="13"/>
      <c r="E36" s="13"/>
      <c r="F36" s="13"/>
      <c r="G36" s="13"/>
      <c r="H36" s="15"/>
      <c r="I36" s="15"/>
      <c r="J36" s="7"/>
    </row>
    <row r="37" spans="1:10" s="1" customFormat="1" ht="38.25" customHeight="1">
      <c r="A37" s="12"/>
      <c r="B37" s="12"/>
      <c r="C37" s="13"/>
      <c r="D37" s="13"/>
      <c r="E37" s="13"/>
      <c r="F37" s="13"/>
      <c r="G37" s="13"/>
      <c r="H37" s="15"/>
      <c r="I37" s="15"/>
      <c r="J37" s="7"/>
    </row>
    <row r="38" spans="1:10" s="1" customFormat="1" ht="38.25" customHeight="1">
      <c r="A38" s="12"/>
      <c r="B38" s="12"/>
      <c r="C38" s="13"/>
      <c r="D38" s="13"/>
      <c r="E38" s="13"/>
      <c r="F38" s="13"/>
      <c r="G38" s="13"/>
      <c r="H38" s="15"/>
      <c r="I38" s="15"/>
      <c r="J38" s="7"/>
    </row>
    <row r="39" spans="1:10" s="1" customFormat="1" ht="38.25" customHeight="1">
      <c r="A39" s="12"/>
      <c r="B39" s="12"/>
      <c r="C39" s="13"/>
      <c r="D39" s="13"/>
      <c r="E39" s="13"/>
      <c r="F39" s="13"/>
      <c r="G39" s="13"/>
      <c r="H39" s="15"/>
      <c r="I39" s="15"/>
      <c r="J39" s="7"/>
    </row>
    <row r="40" spans="1:10" s="1" customFormat="1" ht="38.25" customHeight="1">
      <c r="A40" s="12"/>
      <c r="B40" s="12"/>
      <c r="C40" s="13"/>
      <c r="D40" s="13"/>
      <c r="E40" s="13"/>
      <c r="F40" s="13"/>
      <c r="G40" s="13"/>
      <c r="H40" s="15"/>
      <c r="I40" s="15"/>
      <c r="J40" s="7"/>
    </row>
    <row r="41" spans="1:10" s="1" customFormat="1" ht="18" customHeight="1">
      <c r="A41" s="12"/>
      <c r="B41" s="12"/>
      <c r="C41" s="12"/>
      <c r="D41" s="12"/>
      <c r="E41" s="12"/>
      <c r="F41" s="12"/>
      <c r="G41" s="12"/>
      <c r="H41" s="7"/>
      <c r="I41" s="15"/>
      <c r="J41" s="7"/>
    </row>
    <row r="42" spans="1:10" s="1" customFormat="1" ht="18" customHeight="1">
      <c r="A42" s="12"/>
      <c r="B42" s="12"/>
      <c r="C42" s="12"/>
      <c r="D42" s="12"/>
      <c r="E42" s="12"/>
      <c r="F42" s="12"/>
      <c r="G42" s="12"/>
      <c r="H42" s="7"/>
      <c r="I42" s="15"/>
      <c r="J42" s="7"/>
    </row>
    <row r="43" spans="1:10" s="1" customFormat="1" ht="18" customHeight="1">
      <c r="A43" s="12"/>
      <c r="B43" s="12"/>
      <c r="C43" s="12"/>
      <c r="D43" s="12"/>
      <c r="E43" s="12"/>
      <c r="F43" s="12"/>
      <c r="G43" s="12"/>
      <c r="H43" s="7"/>
      <c r="I43" s="15"/>
      <c r="J43" s="7"/>
    </row>
    <row r="44" spans="1:10" s="1" customFormat="1" ht="18" customHeight="1">
      <c r="A44" s="12"/>
      <c r="B44" s="12"/>
      <c r="C44" s="12"/>
      <c r="D44" s="12"/>
      <c r="E44" s="12"/>
      <c r="F44" s="12"/>
      <c r="G44" s="12"/>
      <c r="H44" s="7"/>
      <c r="I44" s="15"/>
      <c r="J44" s="7"/>
    </row>
    <row r="45" spans="1:10" s="1" customFormat="1" ht="18" customHeight="1">
      <c r="A45" s="12"/>
      <c r="B45" s="12"/>
      <c r="C45" s="12"/>
      <c r="D45" s="12"/>
      <c r="E45" s="12"/>
      <c r="F45" s="12"/>
      <c r="G45" s="12"/>
      <c r="H45" s="7"/>
      <c r="I45" s="15"/>
      <c r="J45" s="7"/>
    </row>
    <row r="46" spans="1:10" s="1" customFormat="1" ht="18" customHeight="1">
      <c r="A46" s="12"/>
      <c r="B46" s="12"/>
      <c r="C46" s="12"/>
      <c r="D46" s="12"/>
      <c r="E46" s="12"/>
      <c r="F46" s="12"/>
      <c r="G46" s="12"/>
      <c r="H46" s="7"/>
      <c r="I46" s="15"/>
      <c r="J46" s="7"/>
    </row>
    <row r="47" spans="1:10" s="1" customFormat="1" ht="18" customHeight="1">
      <c r="A47" s="12"/>
      <c r="B47" s="12"/>
      <c r="C47" s="12"/>
      <c r="D47" s="12"/>
      <c r="E47" s="12"/>
      <c r="F47" s="12"/>
      <c r="G47" s="12"/>
      <c r="H47" s="7"/>
      <c r="I47" s="15"/>
      <c r="J47" s="7"/>
    </row>
    <row r="48" spans="1:10" s="1" customFormat="1" ht="18" customHeight="1">
      <c r="A48" s="12"/>
      <c r="B48" s="12"/>
      <c r="C48" s="12"/>
      <c r="D48" s="12"/>
      <c r="E48" s="12"/>
      <c r="F48" s="12"/>
      <c r="G48" s="12"/>
      <c r="H48" s="7"/>
      <c r="I48" s="15"/>
      <c r="J48" s="7"/>
    </row>
    <row r="49" spans="1:10" s="1" customFormat="1" ht="18" customHeight="1">
      <c r="A49" s="12"/>
      <c r="B49" s="12"/>
      <c r="C49" s="12"/>
      <c r="D49" s="12"/>
      <c r="E49" s="12"/>
      <c r="F49" s="12"/>
      <c r="G49" s="12"/>
      <c r="H49" s="7"/>
      <c r="I49" s="15"/>
      <c r="J49" s="7"/>
    </row>
    <row r="50" spans="1:10" s="1" customFormat="1" ht="18" customHeight="1">
      <c r="A50" s="12"/>
      <c r="B50" s="12"/>
      <c r="C50" s="12"/>
      <c r="D50" s="12"/>
      <c r="E50" s="12"/>
      <c r="F50" s="12"/>
      <c r="G50" s="12"/>
      <c r="H50" s="7"/>
      <c r="I50" s="15"/>
      <c r="J50" s="7"/>
    </row>
    <row r="51" spans="1:10" s="1" customFormat="1" ht="18" customHeight="1">
      <c r="A51" s="12"/>
      <c r="B51" s="12"/>
      <c r="C51" s="12"/>
      <c r="D51" s="12"/>
      <c r="E51" s="12"/>
      <c r="F51" s="12"/>
      <c r="G51" s="12"/>
      <c r="H51" s="7"/>
      <c r="I51" s="15"/>
      <c r="J51" s="7"/>
    </row>
    <row r="52" spans="1:10" s="1" customFormat="1" ht="18" customHeight="1">
      <c r="A52" s="12"/>
      <c r="B52" s="12"/>
      <c r="C52" s="12"/>
      <c r="D52" s="12"/>
      <c r="E52" s="12"/>
      <c r="F52" s="12"/>
      <c r="G52" s="12"/>
      <c r="H52" s="7"/>
      <c r="I52" s="15"/>
      <c r="J52" s="7"/>
    </row>
    <row r="53" spans="1:10" s="1" customFormat="1" ht="18" customHeight="1">
      <c r="A53" s="12"/>
      <c r="B53" s="12"/>
      <c r="C53" s="12"/>
      <c r="D53" s="12"/>
      <c r="E53" s="12"/>
      <c r="F53" s="12"/>
      <c r="G53" s="12"/>
      <c r="H53" s="7"/>
      <c r="I53" s="15"/>
      <c r="J53" s="7"/>
    </row>
    <row r="54" spans="1:10" s="1" customFormat="1" ht="18" customHeight="1">
      <c r="A54" s="12"/>
      <c r="B54" s="12"/>
      <c r="C54" s="12"/>
      <c r="D54" s="12"/>
      <c r="E54" s="12"/>
      <c r="F54" s="12"/>
      <c r="G54" s="12"/>
      <c r="H54" s="7"/>
      <c r="I54" s="15"/>
      <c r="J54" s="7"/>
    </row>
    <row r="55" spans="1:10" s="1" customFormat="1" ht="18" customHeight="1">
      <c r="A55" s="12"/>
      <c r="B55" s="12"/>
      <c r="C55" s="12"/>
      <c r="D55" s="12"/>
      <c r="E55" s="12"/>
      <c r="F55" s="12"/>
      <c r="G55" s="12"/>
      <c r="H55" s="7"/>
      <c r="I55" s="15"/>
      <c r="J55" s="7"/>
    </row>
    <row r="56" spans="1:10" s="1" customFormat="1" ht="18" customHeight="1">
      <c r="A56" s="12"/>
      <c r="B56" s="12"/>
      <c r="C56" s="12"/>
      <c r="D56" s="12"/>
      <c r="E56" s="12"/>
      <c r="F56" s="12"/>
      <c r="G56" s="12"/>
      <c r="H56" s="7"/>
      <c r="I56" s="15"/>
      <c r="J56" s="7"/>
    </row>
    <row r="57" spans="1:10" s="1" customFormat="1" ht="18" customHeight="1">
      <c r="A57" s="12"/>
      <c r="B57" s="12"/>
      <c r="C57" s="12"/>
      <c r="D57" s="12"/>
      <c r="E57" s="12"/>
      <c r="F57" s="12"/>
      <c r="G57" s="12"/>
      <c r="H57" s="7"/>
      <c r="I57" s="15"/>
      <c r="J57" s="7"/>
    </row>
    <row r="58" spans="1:10" s="1" customFormat="1" ht="18" customHeight="1">
      <c r="A58" s="12"/>
      <c r="B58" s="12"/>
      <c r="C58" s="12"/>
      <c r="D58" s="12"/>
      <c r="E58" s="12"/>
      <c r="F58" s="12"/>
      <c r="G58" s="12"/>
      <c r="H58" s="7"/>
      <c r="I58" s="15"/>
      <c r="J58" s="7"/>
    </row>
    <row r="59" spans="1:10" s="1" customFormat="1" ht="18" customHeight="1">
      <c r="A59" s="12"/>
      <c r="B59" s="12"/>
      <c r="C59" s="12"/>
      <c r="D59" s="12"/>
      <c r="E59" s="12"/>
      <c r="F59" s="12"/>
      <c r="G59" s="12"/>
      <c r="H59" s="7"/>
      <c r="I59" s="15"/>
      <c r="J59" s="7"/>
    </row>
    <row r="60" spans="1:10" s="1" customFormat="1" ht="18" customHeight="1">
      <c r="A60" s="12"/>
      <c r="B60" s="12"/>
      <c r="C60" s="12"/>
      <c r="D60" s="12"/>
      <c r="E60" s="12"/>
      <c r="F60" s="12"/>
      <c r="G60" s="12"/>
      <c r="H60" s="7"/>
      <c r="I60" s="15"/>
      <c r="J60" s="7"/>
    </row>
    <row r="61" spans="1:10">
      <c r="A61" s="11"/>
      <c r="B61" s="11"/>
      <c r="C61" s="11"/>
      <c r="D61" s="11"/>
      <c r="E61" s="11"/>
      <c r="F61" s="11"/>
      <c r="G61" s="11"/>
      <c r="H61" s="6"/>
      <c r="I61" s="14"/>
      <c r="J61" s="6"/>
    </row>
    <row r="62" spans="1:10">
      <c r="A62" s="11"/>
      <c r="B62" s="11"/>
      <c r="C62" s="11"/>
      <c r="D62" s="11"/>
      <c r="E62" s="11"/>
      <c r="F62" s="11"/>
      <c r="G62" s="11"/>
      <c r="H62" s="6"/>
      <c r="I62" s="14"/>
      <c r="J62" s="6"/>
    </row>
    <row r="63" spans="1:10">
      <c r="A63" s="11"/>
      <c r="B63" s="11"/>
      <c r="C63" s="11"/>
      <c r="D63" s="11"/>
      <c r="E63" s="11"/>
      <c r="F63" s="11"/>
      <c r="G63" s="11"/>
      <c r="H63" s="6"/>
      <c r="I63" s="14"/>
      <c r="J63" s="6"/>
    </row>
    <row r="64" spans="1:10">
      <c r="A64" s="11"/>
      <c r="B64" s="11"/>
      <c r="C64" s="11"/>
      <c r="D64" s="11"/>
      <c r="E64" s="11"/>
      <c r="F64" s="11"/>
      <c r="G64" s="11"/>
      <c r="H64" s="6"/>
      <c r="I64" s="14"/>
      <c r="J64" s="6"/>
    </row>
    <row r="65" spans="1:10">
      <c r="A65" s="11"/>
      <c r="B65" s="11"/>
      <c r="C65" s="11"/>
      <c r="D65" s="11"/>
      <c r="E65" s="11"/>
      <c r="F65" s="11"/>
      <c r="G65" s="11"/>
      <c r="H65" s="6"/>
      <c r="I65" s="14"/>
      <c r="J65" s="6"/>
    </row>
    <row r="66" spans="1:10">
      <c r="A66" s="11"/>
      <c r="B66" s="11"/>
      <c r="C66" s="11"/>
      <c r="D66" s="11"/>
      <c r="E66" s="11"/>
      <c r="F66" s="11"/>
      <c r="G66" s="11"/>
      <c r="H66" s="6"/>
      <c r="I66" s="14"/>
      <c r="J66" s="6"/>
    </row>
    <row r="67" spans="1:10">
      <c r="A67" s="11"/>
      <c r="B67" s="11"/>
      <c r="C67" s="11"/>
      <c r="D67" s="11"/>
      <c r="E67" s="11"/>
      <c r="F67" s="11"/>
      <c r="G67" s="11"/>
      <c r="H67" s="6"/>
      <c r="I67" s="14"/>
      <c r="J67" s="6"/>
    </row>
    <row r="68" spans="1:10">
      <c r="A68" s="11"/>
      <c r="B68" s="11"/>
      <c r="C68" s="11"/>
      <c r="D68" s="11"/>
      <c r="E68" s="11"/>
      <c r="F68" s="11"/>
      <c r="G68" s="11"/>
      <c r="H68" s="6"/>
      <c r="I68" s="14"/>
      <c r="J68" s="6"/>
    </row>
    <row r="69" spans="1:10">
      <c r="A69" s="11"/>
      <c r="B69" s="11"/>
      <c r="C69" s="11"/>
      <c r="D69" s="11"/>
      <c r="E69" s="11"/>
      <c r="F69" s="11"/>
      <c r="G69" s="11"/>
      <c r="H69" s="6"/>
      <c r="I69" s="14"/>
      <c r="J69" s="6"/>
    </row>
    <row r="70" spans="1:10">
      <c r="A70" s="11"/>
      <c r="B70" s="11"/>
      <c r="C70" s="11"/>
      <c r="D70" s="11"/>
      <c r="E70" s="11"/>
      <c r="F70" s="11"/>
      <c r="G70" s="11"/>
      <c r="H70" s="6"/>
      <c r="I70" s="14"/>
      <c r="J70" s="6"/>
    </row>
    <row r="71" spans="1:10">
      <c r="A71" s="11"/>
      <c r="B71" s="11"/>
      <c r="C71" s="11"/>
      <c r="D71" s="11"/>
      <c r="E71" s="11"/>
      <c r="F71" s="11"/>
      <c r="G71" s="11"/>
      <c r="H71" s="6"/>
      <c r="I71" s="14"/>
      <c r="J71" s="6"/>
    </row>
    <row r="72" spans="1:10">
      <c r="A72" s="11"/>
      <c r="B72" s="11"/>
      <c r="C72" s="11"/>
      <c r="D72" s="11"/>
      <c r="E72" s="11"/>
      <c r="F72" s="11"/>
      <c r="G72" s="11"/>
      <c r="H72" s="6"/>
      <c r="I72" s="14"/>
      <c r="J72" s="6"/>
    </row>
    <row r="73" spans="1:10">
      <c r="A73" s="11"/>
      <c r="B73" s="11"/>
      <c r="C73" s="11"/>
      <c r="D73" s="11"/>
      <c r="E73" s="11"/>
      <c r="F73" s="11"/>
      <c r="G73" s="11"/>
      <c r="H73" s="6"/>
      <c r="I73" s="14"/>
      <c r="J73" s="6"/>
    </row>
    <row r="74" spans="1:10">
      <c r="A74" s="11"/>
      <c r="B74" s="11"/>
      <c r="C74" s="11"/>
      <c r="D74" s="11"/>
      <c r="E74" s="11"/>
      <c r="F74" s="11"/>
      <c r="G74" s="11"/>
      <c r="H74" s="6"/>
      <c r="I74" s="14"/>
      <c r="J74" s="6"/>
    </row>
    <row r="75" spans="1:10">
      <c r="A75" s="11"/>
      <c r="B75" s="11"/>
      <c r="C75" s="11"/>
      <c r="D75" s="11"/>
      <c r="E75" s="11"/>
      <c r="F75" s="11"/>
      <c r="G75" s="11"/>
      <c r="H75" s="6"/>
      <c r="I75" s="14"/>
      <c r="J75" s="6"/>
    </row>
    <row r="76" spans="1:10">
      <c r="A76" s="11"/>
      <c r="B76" s="11"/>
      <c r="C76" s="11"/>
      <c r="D76" s="11"/>
      <c r="E76" s="11"/>
      <c r="F76" s="11"/>
      <c r="G76" s="11"/>
      <c r="H76" s="6"/>
      <c r="I76" s="14"/>
      <c r="J76" s="6"/>
    </row>
    <row r="77" spans="1:10">
      <c r="A77" s="11"/>
      <c r="B77" s="11"/>
      <c r="C77" s="11"/>
      <c r="D77" s="11"/>
      <c r="E77" s="11"/>
      <c r="F77" s="11"/>
      <c r="G77" s="11"/>
      <c r="H77" s="6"/>
      <c r="I77" s="14"/>
      <c r="J77" s="6"/>
    </row>
    <row r="78" spans="1:10">
      <c r="A78" s="11"/>
      <c r="B78" s="11"/>
      <c r="C78" s="11"/>
      <c r="D78" s="11"/>
      <c r="E78" s="11"/>
      <c r="F78" s="11"/>
      <c r="G78" s="11"/>
      <c r="H78" s="6"/>
      <c r="I78" s="14"/>
      <c r="J78" s="6"/>
    </row>
    <row r="79" spans="1:10">
      <c r="A79" s="11"/>
      <c r="B79" s="11"/>
      <c r="C79" s="11"/>
      <c r="D79" s="11"/>
      <c r="E79" s="11"/>
      <c r="F79" s="11"/>
      <c r="G79" s="11"/>
      <c r="H79" s="6"/>
      <c r="I79" s="14"/>
      <c r="J79" s="6"/>
    </row>
    <row r="80" spans="1:10">
      <c r="A80" s="11"/>
      <c r="B80" s="11"/>
      <c r="C80" s="11"/>
      <c r="D80" s="11"/>
      <c r="E80" s="11"/>
      <c r="F80" s="11"/>
      <c r="G80" s="11"/>
      <c r="H80" s="6"/>
      <c r="I80" s="14"/>
      <c r="J80" s="6"/>
    </row>
    <row r="81" spans="1:10">
      <c r="A81" s="11"/>
      <c r="B81" s="11"/>
      <c r="C81" s="11"/>
      <c r="D81" s="11"/>
      <c r="E81" s="11"/>
      <c r="F81" s="11"/>
      <c r="G81" s="11"/>
      <c r="H81" s="6"/>
      <c r="I81" s="14"/>
      <c r="J81" s="6"/>
    </row>
    <row r="82" spans="1:10">
      <c r="A82" s="11"/>
      <c r="B82" s="11"/>
      <c r="C82" s="11"/>
      <c r="D82" s="11"/>
      <c r="E82" s="11"/>
      <c r="F82" s="11"/>
      <c r="G82" s="11"/>
      <c r="H82" s="6"/>
      <c r="I82" s="14"/>
      <c r="J82" s="6"/>
    </row>
    <row r="83" spans="1:10">
      <c r="A83" s="11"/>
      <c r="B83" s="11"/>
      <c r="C83" s="11"/>
      <c r="D83" s="11"/>
      <c r="E83" s="11"/>
      <c r="F83" s="11"/>
      <c r="G83" s="11"/>
      <c r="H83" s="6"/>
      <c r="I83" s="14"/>
      <c r="J83" s="6"/>
    </row>
    <row r="84" spans="1:10">
      <c r="A84" s="11"/>
      <c r="B84" s="11"/>
      <c r="C84" s="11"/>
      <c r="D84" s="11"/>
      <c r="E84" s="11"/>
      <c r="F84" s="11"/>
      <c r="G84" s="11"/>
      <c r="H84" s="6"/>
      <c r="I84" s="14"/>
      <c r="J84" s="6"/>
    </row>
    <row r="85" spans="1:10">
      <c r="A85" s="11"/>
      <c r="B85" s="11"/>
      <c r="C85" s="11"/>
      <c r="D85" s="11"/>
      <c r="E85" s="11"/>
      <c r="F85" s="11"/>
      <c r="G85" s="11"/>
      <c r="H85" s="6"/>
      <c r="I85" s="14"/>
      <c r="J85" s="6"/>
    </row>
    <row r="86" spans="1:10">
      <c r="A86" s="11"/>
      <c r="B86" s="11"/>
      <c r="C86" s="11"/>
      <c r="D86" s="11"/>
      <c r="E86" s="11"/>
      <c r="F86" s="11"/>
      <c r="G86" s="11"/>
      <c r="H86" s="6"/>
      <c r="I86" s="14"/>
      <c r="J86" s="6"/>
    </row>
    <row r="87" spans="1:10">
      <c r="A87" s="11"/>
      <c r="B87" s="11"/>
      <c r="C87" s="11"/>
      <c r="D87" s="11"/>
      <c r="E87" s="11"/>
      <c r="F87" s="11"/>
      <c r="G87" s="11"/>
      <c r="H87" s="6"/>
      <c r="I87" s="14"/>
      <c r="J87" s="6"/>
    </row>
    <row r="88" spans="1:10">
      <c r="A88" s="11"/>
      <c r="B88" s="11"/>
      <c r="C88" s="11"/>
      <c r="D88" s="11"/>
      <c r="E88" s="11"/>
      <c r="F88" s="11"/>
      <c r="G88" s="11"/>
      <c r="H88" s="6"/>
      <c r="I88" s="14"/>
      <c r="J88" s="6"/>
    </row>
    <row r="89" spans="1:10">
      <c r="A89" s="11"/>
      <c r="B89" s="11"/>
      <c r="C89" s="11"/>
      <c r="D89" s="11"/>
      <c r="E89" s="11"/>
      <c r="F89" s="11"/>
      <c r="G89" s="11"/>
      <c r="H89" s="6"/>
      <c r="I89" s="14"/>
      <c r="J89" s="6"/>
    </row>
    <row r="90" spans="1:10">
      <c r="A90" s="11"/>
      <c r="B90" s="11"/>
      <c r="C90" s="11"/>
      <c r="D90" s="11"/>
      <c r="E90" s="11"/>
      <c r="F90" s="11"/>
      <c r="G90" s="11"/>
      <c r="H90" s="6"/>
      <c r="I90" s="14"/>
      <c r="J90" s="6"/>
    </row>
    <row r="91" spans="1:10">
      <c r="A91" s="11"/>
      <c r="B91" s="11"/>
      <c r="C91" s="11"/>
      <c r="D91" s="11"/>
      <c r="E91" s="11"/>
      <c r="F91" s="11"/>
      <c r="G91" s="11"/>
      <c r="H91" s="6"/>
      <c r="I91" s="14"/>
      <c r="J91" s="6"/>
    </row>
    <row r="92" spans="1:10">
      <c r="A92" s="11"/>
      <c r="B92" s="11"/>
      <c r="C92" s="11"/>
      <c r="D92" s="11"/>
      <c r="E92" s="11"/>
      <c r="F92" s="11"/>
      <c r="G92" s="11"/>
      <c r="H92" s="6"/>
      <c r="I92" s="14"/>
      <c r="J92" s="6"/>
    </row>
    <row r="93" spans="1:10">
      <c r="A93" s="11"/>
      <c r="B93" s="11"/>
      <c r="C93" s="11"/>
      <c r="D93" s="11"/>
      <c r="E93" s="11"/>
      <c r="F93" s="11"/>
      <c r="G93" s="11"/>
      <c r="H93" s="6"/>
      <c r="I93" s="14"/>
      <c r="J93" s="6"/>
    </row>
    <row r="94" spans="1:10">
      <c r="A94" s="11"/>
      <c r="B94" s="11"/>
      <c r="C94" s="11"/>
      <c r="D94" s="11"/>
      <c r="E94" s="11"/>
      <c r="F94" s="11"/>
      <c r="G94" s="11"/>
      <c r="H94" s="6"/>
      <c r="I94" s="14"/>
      <c r="J94" s="6"/>
    </row>
    <row r="95" spans="1:10">
      <c r="A95" s="11"/>
      <c r="B95" s="11"/>
      <c r="C95" s="11"/>
      <c r="D95" s="11"/>
      <c r="E95" s="11"/>
      <c r="F95" s="11"/>
      <c r="G95" s="11"/>
      <c r="H95" s="6"/>
      <c r="I95" s="14"/>
      <c r="J95" s="6"/>
    </row>
    <row r="96" spans="1:10">
      <c r="A96" s="11"/>
      <c r="B96" s="11"/>
      <c r="C96" s="11"/>
      <c r="D96" s="11"/>
      <c r="E96" s="11"/>
      <c r="F96" s="11"/>
      <c r="G96" s="11"/>
      <c r="H96" s="6"/>
      <c r="I96" s="14"/>
      <c r="J96" s="6"/>
    </row>
    <row r="97" spans="1:10">
      <c r="A97" s="11"/>
      <c r="B97" s="11"/>
      <c r="C97" s="11"/>
      <c r="D97" s="11"/>
      <c r="E97" s="11"/>
      <c r="F97" s="11"/>
      <c r="G97" s="11"/>
      <c r="H97" s="6"/>
      <c r="I97" s="14"/>
      <c r="J97" s="6"/>
    </row>
    <row r="98" spans="1:10">
      <c r="A98" s="11"/>
      <c r="B98" s="11"/>
      <c r="C98" s="11"/>
      <c r="D98" s="11"/>
      <c r="E98" s="11"/>
      <c r="F98" s="11"/>
      <c r="G98" s="11"/>
      <c r="H98" s="6"/>
      <c r="I98" s="14"/>
      <c r="J98" s="6"/>
    </row>
    <row r="99" spans="1:10">
      <c r="A99" s="11"/>
      <c r="B99" s="11"/>
      <c r="C99" s="11"/>
      <c r="D99" s="11"/>
      <c r="E99" s="11"/>
      <c r="F99" s="11"/>
      <c r="G99" s="11"/>
      <c r="H99" s="6"/>
      <c r="I99" s="14"/>
      <c r="J99" s="6"/>
    </row>
    <row r="100" spans="1:10">
      <c r="A100" s="11"/>
      <c r="B100" s="11"/>
      <c r="C100" s="11"/>
      <c r="D100" s="11"/>
      <c r="E100" s="11"/>
      <c r="F100" s="11"/>
      <c r="G100" s="11"/>
      <c r="H100" s="6"/>
      <c r="I100" s="14"/>
      <c r="J100" s="6"/>
    </row>
  </sheetData>
  <mergeCells count="1">
    <mergeCell ref="A1:J2"/>
  </mergeCells>
  <conditionalFormatting sqref="D6:D40">
    <cfRule type="expression" dxfId="15" priority="1">
      <formula>D6="No"</formula>
    </cfRule>
  </conditionalFormatting>
  <conditionalFormatting sqref="D6:D40">
    <cfRule type="expression" dxfId="14" priority="2">
      <formula>D6="Partial"</formula>
    </cfRule>
  </conditionalFormatting>
  <dataValidations count="2">
    <dataValidation type="list" allowBlank="1" showInputMessage="1" showErrorMessage="1" sqref="H5:H100" xr:uid="{287EADC1-4E4D-4AFE-A7E6-64A74C195A3C}">
      <formula1>"Critical,High,Medium,Low"</formula1>
    </dataValidation>
    <dataValidation type="list" allowBlank="1" showInputMessage="1" showErrorMessage="1" sqref="J5:J100" xr:uid="{D71027CC-6396-45FF-893C-6803AB349721}">
      <formula1>"Open,In Progress,Blocked,Complete,Risk Accepted"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947BE-586B-4AD9-AD25-823A1A315C9F}">
  <dimension ref="A1:J60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3.7109375" customWidth="1"/>
    <col min="3" max="3" width="21" customWidth="1"/>
    <col min="4" max="4" width="28.5703125" customWidth="1"/>
    <col min="5" max="5" width="23.85546875" customWidth="1"/>
    <col min="6" max="6" width="29.5703125" customWidth="1"/>
    <col min="7" max="7" width="23.85546875" customWidth="1"/>
    <col min="8" max="8" width="17.140625" customWidth="1"/>
    <col min="9" max="9" width="13.7109375" customWidth="1"/>
    <col min="10" max="10" width="42.85546875" customWidth="1"/>
  </cols>
  <sheetData>
    <row r="1" spans="1:10" s="1" customFormat="1" ht="26.25" customHeight="1">
      <c r="A1" s="2" t="s">
        <v>183</v>
      </c>
      <c r="B1" s="2" t="s">
        <v>73</v>
      </c>
      <c r="C1" s="2" t="s">
        <v>44</v>
      </c>
      <c r="D1" s="2" t="s">
        <v>184</v>
      </c>
      <c r="E1" s="2" t="s">
        <v>185</v>
      </c>
      <c r="F1" s="2" t="s">
        <v>186</v>
      </c>
      <c r="G1" s="2" t="s">
        <v>48</v>
      </c>
      <c r="H1" s="2" t="s">
        <v>187</v>
      </c>
      <c r="I1" s="2" t="s">
        <v>188</v>
      </c>
      <c r="J1" s="2" t="s">
        <v>189</v>
      </c>
    </row>
    <row r="2" spans="1:10" s="1" customFormat="1" ht="33.75" customHeight="1">
      <c r="A2" s="7"/>
      <c r="B2" s="7"/>
      <c r="C2" s="7"/>
      <c r="D2" s="7"/>
      <c r="E2" s="7"/>
      <c r="F2" s="7"/>
      <c r="G2" s="7"/>
      <c r="H2" s="15"/>
      <c r="I2" s="15"/>
      <c r="J2" s="16"/>
    </row>
    <row r="3" spans="1:10" s="1" customFormat="1" ht="33.75" customHeight="1">
      <c r="A3" s="7"/>
      <c r="B3" s="7"/>
      <c r="C3" s="7"/>
      <c r="D3" s="7"/>
      <c r="E3" s="7"/>
      <c r="F3" s="7"/>
      <c r="G3" s="7"/>
      <c r="H3" s="15"/>
      <c r="I3" s="15"/>
      <c r="J3" s="16"/>
    </row>
    <row r="4" spans="1:10" s="1" customFormat="1" ht="33.75" customHeight="1">
      <c r="A4" s="7"/>
      <c r="B4" s="7"/>
      <c r="C4" s="7"/>
      <c r="D4" s="7"/>
      <c r="E4" s="7"/>
      <c r="F4" s="7"/>
      <c r="G4" s="7"/>
      <c r="H4" s="15"/>
      <c r="I4" s="15"/>
      <c r="J4" s="16"/>
    </row>
    <row r="5" spans="1:10" s="1" customFormat="1" ht="33.75" customHeight="1">
      <c r="A5" s="7"/>
      <c r="B5" s="7"/>
      <c r="C5" s="7"/>
      <c r="D5" s="7"/>
      <c r="E5" s="7"/>
      <c r="F5" s="7"/>
      <c r="G5" s="7"/>
      <c r="H5" s="15"/>
      <c r="I5" s="15"/>
      <c r="J5" s="16"/>
    </row>
    <row r="6" spans="1:10" s="1" customFormat="1" ht="33.75" customHeight="1">
      <c r="A6" s="7"/>
      <c r="B6" s="7"/>
      <c r="C6" s="7"/>
      <c r="D6" s="7"/>
      <c r="E6" s="7"/>
      <c r="F6" s="7"/>
      <c r="G6" s="7"/>
      <c r="H6" s="15"/>
      <c r="I6" s="15"/>
      <c r="J6" s="16"/>
    </row>
    <row r="7" spans="1:10" s="1" customFormat="1" ht="33.75" customHeight="1">
      <c r="A7" s="7"/>
      <c r="B7" s="7"/>
      <c r="C7" s="7"/>
      <c r="D7" s="7"/>
      <c r="E7" s="7"/>
      <c r="F7" s="7"/>
      <c r="G7" s="7"/>
      <c r="H7" s="15"/>
      <c r="I7" s="15"/>
      <c r="J7" s="16"/>
    </row>
    <row r="8" spans="1:10" s="1" customFormat="1" ht="33.75" customHeight="1">
      <c r="A8" s="7"/>
      <c r="B8" s="7"/>
      <c r="C8" s="7"/>
      <c r="D8" s="7"/>
      <c r="E8" s="7"/>
      <c r="F8" s="7"/>
      <c r="G8" s="7"/>
      <c r="H8" s="15"/>
      <c r="I8" s="15"/>
      <c r="J8" s="16"/>
    </row>
    <row r="9" spans="1:10" s="1" customFormat="1" ht="33.75" customHeight="1">
      <c r="A9" s="7"/>
      <c r="B9" s="7"/>
      <c r="C9" s="7"/>
      <c r="D9" s="7"/>
      <c r="E9" s="7"/>
      <c r="F9" s="7"/>
      <c r="G9" s="7"/>
      <c r="H9" s="15"/>
      <c r="I9" s="15"/>
      <c r="J9" s="16"/>
    </row>
    <row r="10" spans="1:10" s="1" customFormat="1" ht="33.75" customHeight="1">
      <c r="A10" s="7"/>
      <c r="B10" s="7"/>
      <c r="C10" s="7"/>
      <c r="D10" s="7"/>
      <c r="E10" s="7"/>
      <c r="F10" s="7"/>
      <c r="G10" s="7"/>
      <c r="H10" s="15"/>
      <c r="I10" s="15"/>
      <c r="J10" s="16"/>
    </row>
    <row r="11" spans="1:10" s="1" customFormat="1" ht="33.75" customHeight="1">
      <c r="A11" s="7"/>
      <c r="B11" s="7"/>
      <c r="C11" s="7"/>
      <c r="D11" s="7"/>
      <c r="E11" s="7"/>
      <c r="F11" s="7"/>
      <c r="G11" s="7"/>
      <c r="H11" s="15"/>
      <c r="I11" s="15"/>
      <c r="J11" s="16"/>
    </row>
    <row r="12" spans="1:10" s="1" customFormat="1" ht="33.75" customHeight="1">
      <c r="A12" s="7"/>
      <c r="B12" s="7"/>
      <c r="C12" s="7"/>
      <c r="D12" s="7"/>
      <c r="E12" s="7"/>
      <c r="F12" s="7"/>
      <c r="G12" s="7"/>
      <c r="H12" s="15"/>
      <c r="I12" s="15"/>
      <c r="J12" s="16"/>
    </row>
    <row r="13" spans="1:10" s="1" customFormat="1" ht="33.75" customHeight="1">
      <c r="A13" s="7"/>
      <c r="B13" s="7"/>
      <c r="C13" s="7"/>
      <c r="D13" s="7"/>
      <c r="E13" s="7"/>
      <c r="F13" s="7"/>
      <c r="G13" s="7"/>
      <c r="H13" s="15"/>
      <c r="I13" s="15"/>
      <c r="J13" s="16"/>
    </row>
    <row r="14" spans="1:10" s="1" customFormat="1" ht="33.75" customHeight="1">
      <c r="A14" s="7"/>
      <c r="B14" s="7"/>
      <c r="C14" s="7"/>
      <c r="D14" s="7"/>
      <c r="E14" s="7"/>
      <c r="F14" s="7"/>
      <c r="G14" s="7"/>
      <c r="H14" s="15"/>
      <c r="I14" s="15"/>
      <c r="J14" s="16"/>
    </row>
    <row r="15" spans="1:10" s="1" customFormat="1" ht="33.75" customHeight="1">
      <c r="A15" s="7"/>
      <c r="B15" s="7"/>
      <c r="C15" s="7"/>
      <c r="D15" s="7"/>
      <c r="E15" s="7"/>
      <c r="F15" s="7"/>
      <c r="G15" s="7"/>
      <c r="H15" s="15"/>
      <c r="I15" s="15"/>
      <c r="J15" s="16"/>
    </row>
    <row r="16" spans="1:10" s="1" customFormat="1" ht="33.75" customHeight="1">
      <c r="A16" s="7"/>
      <c r="B16" s="7"/>
      <c r="C16" s="7"/>
      <c r="D16" s="7"/>
      <c r="E16" s="7"/>
      <c r="F16" s="7"/>
      <c r="G16" s="7"/>
      <c r="H16" s="15"/>
      <c r="I16" s="15"/>
      <c r="J16" s="16"/>
    </row>
    <row r="17" spans="1:10" s="1" customFormat="1" ht="33.75" customHeight="1">
      <c r="A17" s="7"/>
      <c r="B17" s="7"/>
      <c r="C17" s="7"/>
      <c r="D17" s="7"/>
      <c r="E17" s="7"/>
      <c r="F17" s="7"/>
      <c r="G17" s="7"/>
      <c r="H17" s="15"/>
      <c r="I17" s="15"/>
      <c r="J17" s="16"/>
    </row>
    <row r="18" spans="1:10" s="1" customFormat="1" ht="33.75" customHeight="1">
      <c r="A18" s="7"/>
      <c r="B18" s="7"/>
      <c r="C18" s="7"/>
      <c r="D18" s="7"/>
      <c r="E18" s="7"/>
      <c r="F18" s="7"/>
      <c r="G18" s="7"/>
      <c r="H18" s="15"/>
      <c r="I18" s="15"/>
      <c r="J18" s="16"/>
    </row>
    <row r="19" spans="1:10" s="1" customFormat="1" ht="33.75" customHeight="1">
      <c r="A19" s="7"/>
      <c r="B19" s="7"/>
      <c r="C19" s="7"/>
      <c r="D19" s="7"/>
      <c r="E19" s="7"/>
      <c r="F19" s="7"/>
      <c r="G19" s="7"/>
      <c r="H19" s="15"/>
      <c r="I19" s="15"/>
      <c r="J19" s="16"/>
    </row>
    <row r="20" spans="1:10" s="1" customFormat="1" ht="33.75" customHeight="1">
      <c r="A20" s="7"/>
      <c r="B20" s="7"/>
      <c r="C20" s="7"/>
      <c r="D20" s="7"/>
      <c r="E20" s="7"/>
      <c r="F20" s="7"/>
      <c r="G20" s="7"/>
      <c r="H20" s="15"/>
      <c r="I20" s="15"/>
      <c r="J20" s="16"/>
    </row>
    <row r="21" spans="1:10" s="1" customFormat="1" ht="33.75" customHeight="1">
      <c r="A21" s="7"/>
      <c r="B21" s="7"/>
      <c r="C21" s="7"/>
      <c r="D21" s="7"/>
      <c r="E21" s="7"/>
      <c r="F21" s="7"/>
      <c r="G21" s="7"/>
      <c r="H21" s="15"/>
      <c r="I21" s="15"/>
      <c r="J21" s="16"/>
    </row>
    <row r="22" spans="1:10" s="1" customFormat="1" ht="33.75" customHeight="1">
      <c r="A22" s="7"/>
      <c r="B22" s="7"/>
      <c r="C22" s="7"/>
      <c r="D22" s="7"/>
      <c r="E22" s="7"/>
      <c r="F22" s="7"/>
      <c r="G22" s="7"/>
      <c r="H22" s="15"/>
      <c r="I22" s="15"/>
      <c r="J22" s="16"/>
    </row>
    <row r="23" spans="1:10" s="1" customFormat="1" ht="33.75" customHeight="1">
      <c r="A23" s="7"/>
      <c r="B23" s="7"/>
      <c r="C23" s="7"/>
      <c r="D23" s="7"/>
      <c r="E23" s="7"/>
      <c r="F23" s="7"/>
      <c r="G23" s="7"/>
      <c r="H23" s="15"/>
      <c r="I23" s="15"/>
      <c r="J23" s="16"/>
    </row>
    <row r="24" spans="1:10" s="1" customFormat="1" ht="33.75" customHeight="1">
      <c r="A24" s="7"/>
      <c r="B24" s="7"/>
      <c r="C24" s="7"/>
      <c r="D24" s="7"/>
      <c r="E24" s="7"/>
      <c r="F24" s="7"/>
      <c r="G24" s="7"/>
      <c r="H24" s="15"/>
      <c r="I24" s="15"/>
      <c r="J24" s="16"/>
    </row>
    <row r="25" spans="1:10" s="1" customFormat="1" ht="33.75" customHeight="1">
      <c r="A25" s="7"/>
      <c r="B25" s="7"/>
      <c r="C25" s="7"/>
      <c r="D25" s="7"/>
      <c r="E25" s="7"/>
      <c r="F25" s="7"/>
      <c r="G25" s="7"/>
      <c r="H25" s="15"/>
      <c r="I25" s="15"/>
      <c r="J25" s="16"/>
    </row>
    <row r="26" spans="1:10" s="1" customFormat="1" ht="33.75" customHeight="1">
      <c r="A26" s="7"/>
      <c r="B26" s="7"/>
      <c r="C26" s="7"/>
      <c r="D26" s="7"/>
      <c r="E26" s="7"/>
      <c r="F26" s="7"/>
      <c r="G26" s="7"/>
      <c r="H26" s="15"/>
      <c r="I26" s="15"/>
      <c r="J26" s="16"/>
    </row>
    <row r="27" spans="1:10" s="1" customFormat="1" ht="33.75" customHeight="1">
      <c r="A27" s="7"/>
      <c r="B27" s="7"/>
      <c r="C27" s="7"/>
      <c r="D27" s="7"/>
      <c r="E27" s="7"/>
      <c r="F27" s="7"/>
      <c r="G27" s="7"/>
      <c r="H27" s="15"/>
      <c r="I27" s="15"/>
      <c r="J27" s="16"/>
    </row>
    <row r="28" spans="1:10" s="1" customFormat="1" ht="33.75" customHeight="1">
      <c r="A28" s="7"/>
      <c r="B28" s="7"/>
      <c r="C28" s="7"/>
      <c r="D28" s="7"/>
      <c r="E28" s="7"/>
      <c r="F28" s="7"/>
      <c r="G28" s="7"/>
      <c r="H28" s="15"/>
      <c r="I28" s="15"/>
      <c r="J28" s="16"/>
    </row>
    <row r="29" spans="1:10" s="1" customFormat="1" ht="33.75" customHeight="1">
      <c r="A29" s="7"/>
      <c r="B29" s="7"/>
      <c r="C29" s="7"/>
      <c r="D29" s="7"/>
      <c r="E29" s="7"/>
      <c r="F29" s="7"/>
      <c r="G29" s="7"/>
      <c r="H29" s="15"/>
      <c r="I29" s="15"/>
      <c r="J29" s="16"/>
    </row>
    <row r="30" spans="1:10" s="1" customFormat="1" ht="33.75" customHeight="1">
      <c r="A30" s="7"/>
      <c r="B30" s="7"/>
      <c r="C30" s="7"/>
      <c r="D30" s="7"/>
      <c r="E30" s="7"/>
      <c r="F30" s="7"/>
      <c r="G30" s="7"/>
      <c r="H30" s="15"/>
      <c r="I30" s="15"/>
      <c r="J30" s="16"/>
    </row>
    <row r="31" spans="1:10" s="1" customFormat="1" ht="33.75" customHeight="1">
      <c r="A31" s="7"/>
      <c r="B31" s="7"/>
      <c r="C31" s="7"/>
      <c r="D31" s="7"/>
      <c r="E31" s="7"/>
      <c r="F31" s="7"/>
      <c r="G31" s="7"/>
      <c r="H31" s="15"/>
      <c r="I31" s="15"/>
      <c r="J31" s="16"/>
    </row>
    <row r="32" spans="1:10" s="1" customFormat="1" ht="33.75" customHeight="1">
      <c r="A32" s="7"/>
      <c r="B32" s="7"/>
      <c r="C32" s="7"/>
      <c r="D32" s="7"/>
      <c r="E32" s="7"/>
      <c r="F32" s="7"/>
      <c r="G32" s="7"/>
      <c r="H32" s="15"/>
      <c r="I32" s="15"/>
      <c r="J32" s="16"/>
    </row>
    <row r="33" spans="1:10" s="1" customFormat="1" ht="33.75" customHeight="1">
      <c r="A33" s="7"/>
      <c r="B33" s="7"/>
      <c r="C33" s="7"/>
      <c r="D33" s="7"/>
      <c r="E33" s="7"/>
      <c r="F33" s="7"/>
      <c r="G33" s="7"/>
      <c r="H33" s="15"/>
      <c r="I33" s="15"/>
      <c r="J33" s="16"/>
    </row>
    <row r="34" spans="1:10" s="1" customFormat="1" ht="33.75" customHeight="1">
      <c r="A34" s="7"/>
      <c r="B34" s="7"/>
      <c r="C34" s="7"/>
      <c r="D34" s="7"/>
      <c r="E34" s="7"/>
      <c r="F34" s="7"/>
      <c r="G34" s="7"/>
      <c r="H34" s="15"/>
      <c r="I34" s="15"/>
      <c r="J34" s="16"/>
    </row>
    <row r="35" spans="1:10" s="1" customFormat="1" ht="33.75" customHeight="1">
      <c r="A35" s="7"/>
      <c r="B35" s="7"/>
      <c r="C35" s="7"/>
      <c r="D35" s="7"/>
      <c r="E35" s="7"/>
      <c r="F35" s="7"/>
      <c r="G35" s="7"/>
      <c r="H35" s="15"/>
      <c r="I35" s="15"/>
      <c r="J35" s="16"/>
    </row>
    <row r="36" spans="1:10" s="1" customFormat="1" ht="33.75" customHeight="1">
      <c r="A36" s="7"/>
      <c r="B36" s="7"/>
      <c r="C36" s="7"/>
      <c r="D36" s="7"/>
      <c r="E36" s="7"/>
      <c r="F36" s="7"/>
      <c r="G36" s="7"/>
      <c r="H36" s="15"/>
      <c r="I36" s="15"/>
      <c r="J36" s="16"/>
    </row>
    <row r="37" spans="1:10" s="1" customFormat="1" ht="33.75" customHeight="1">
      <c r="A37" s="7"/>
      <c r="B37" s="7"/>
      <c r="C37" s="7"/>
      <c r="D37" s="7"/>
      <c r="E37" s="7"/>
      <c r="F37" s="7"/>
      <c r="G37" s="7"/>
      <c r="H37" s="15"/>
      <c r="I37" s="15"/>
      <c r="J37" s="16"/>
    </row>
    <row r="38" spans="1:10" s="1" customFormat="1" ht="18" customHeight="1"/>
    <row r="39" spans="1:10" s="1" customFormat="1" ht="18" customHeight="1"/>
    <row r="40" spans="1:10" s="1" customFormat="1" ht="18" customHeight="1"/>
    <row r="41" spans="1:10" s="1" customFormat="1" ht="18" customHeight="1"/>
    <row r="42" spans="1:10" s="1" customFormat="1" ht="18" customHeight="1"/>
    <row r="43" spans="1:10" s="1" customFormat="1" ht="18" customHeight="1"/>
    <row r="44" spans="1:10" s="1" customFormat="1" ht="18" customHeight="1"/>
    <row r="45" spans="1:10" s="1" customFormat="1" ht="18" customHeight="1"/>
    <row r="46" spans="1:10" s="1" customFormat="1" ht="18" customHeight="1"/>
    <row r="47" spans="1:10" s="1" customFormat="1" ht="18" customHeight="1"/>
    <row r="48" spans="1:10" s="1" customFormat="1" ht="18" customHeight="1"/>
    <row r="49" s="1" customFormat="1" ht="18" customHeight="1"/>
    <row r="50" s="1" customFormat="1" ht="18" customHeight="1"/>
    <row r="51" s="1" customFormat="1" ht="18" customHeight="1"/>
    <row r="52" s="1" customFormat="1" ht="18" customHeight="1"/>
    <row r="53" s="1" customFormat="1" ht="18" customHeight="1"/>
    <row r="54" s="1" customFormat="1" ht="18" customHeight="1"/>
    <row r="55" s="1" customFormat="1" ht="18" customHeight="1"/>
    <row r="56" s="1" customFormat="1" ht="18" customHeight="1"/>
    <row r="57" s="1" customFormat="1" ht="18" customHeight="1"/>
    <row r="58" s="1" customFormat="1" ht="18" customHeight="1"/>
    <row r="59" s="1" customFormat="1" ht="18" customHeight="1"/>
    <row r="60" s="1" customFormat="1" ht="18" customHeight="1"/>
  </sheetData>
  <conditionalFormatting sqref="I2:I37">
    <cfRule type="expression" dxfId="13" priority="1">
      <formula>I2="Missing"</formula>
    </cfRule>
  </conditionalFormatting>
  <conditionalFormatting sqref="I2:I37">
    <cfRule type="expression" dxfId="12" priority="2">
      <formula>I2="Partial"</formula>
    </cfRule>
  </conditionalFormatting>
  <dataValidations count="1">
    <dataValidation type="list" allowBlank="1" showInputMessage="1" showErrorMessage="1" errorTitle="Select a valid review status" error="Choose Missing, Submitted, Reviewed, Accepted, or Rejected." sqref="H2:H37" xr:uid="{63843CA5-4799-4BF5-97CE-36CC6DD3FFF5}">
      <formula1>"Missing,Submitted,Reviewed,Accepted,Rejected"</formula1>
    </dataValidation>
  </dataValidations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9581d066-76ea-4072-a82d-22dafb01fb9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2026-09-04T11:48:27Z</dcterms:created>
  <dcterms:modified xsi:type="dcterms:W3CDTF">2026-09-07T00:25:20Z</dcterms:modified>
  <cp:category/>
  <cp:contentStatus/>
</cp:coreProperties>
</file>